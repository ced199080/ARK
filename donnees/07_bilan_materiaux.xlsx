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oût par plan" sheetId="2" state="visible" r:id="rId2"/>
    <sheet xmlns:r="http://schemas.openxmlformats.org/officeDocument/2006/relationships" name="Détail" sheetId="3" state="visible" r:id="rId3"/>
    <sheet xmlns:r="http://schemas.openxmlformats.org/officeDocument/2006/relationships" name="Par 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#,##0&quot; restent en place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3"/>
    </font>
    <font>
      <name val="Arial"/>
      <i val="1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4" fontId="6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65" fontId="4" fillId="3" borderId="1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0" fontId="5" fillId="4" borderId="0" pivotButton="0" quotePrefix="0" xfId="0"/>
    <xf numFmtId="164" fontId="4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10" fillId="3" borderId="1" pivotButton="0" quotePrefix="0" xfId="0"/>
    <xf numFmtId="0" fontId="8" fillId="0" borderId="0" pivotButton="0" quotePrefix="0" xfId="0"/>
    <xf numFmtId="164" fontId="10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5" fillId="0" borderId="1" pivotButton="0" quotePrefix="0" xfId="0"/>
    <xf numFmtId="164" fontId="6" fillId="0" borderId="0" pivotButton="0" quotePrefix="0" xfId="0"/>
    <xf numFmtId="0" fontId="3" fillId="2" borderId="0" pivotButton="0" quotePrefix="0" xfId="0"/>
    <xf numFmtId="164" fontId="10" fillId="0" borderId="0" pivotButton="0" quotePrefix="0" xfId="0"/>
    <xf numFmtId="16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Forteresse Ø30 — bilan matériaux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Calculé depuis l'onglet Détail. Les tourelles (52 Heavy, 23 Tek, 10 Tesla) sont déjà en inventaire ; les 15 graines de Plant Species X se plantent à la main. Ne fabriquez que la ligne « À fabriquer 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Nombre de structures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5" t="inlineStr">
        <is>
          <t>Poste</t>
        </is>
      </c>
      <c r="B5" s="5" t="inlineStr">
        <is>
          <t>Structures</t>
        </is>
      </c>
      <c r="C5" s="5" t="inlineStr">
        <is>
          <t>Devenir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6" t="inlineStr">
        <is>
          <t>Structure des plans (sans la colonnade)</t>
        </is>
      </c>
      <c r="B6" s="7">
        <f>SUMIFS(Détail!$C$5:$C$30,Détail!$A$5:$A$30,A6)</f>
        <v/>
      </c>
      <c r="C6" s="6" t="inlineStr">
        <is>
          <t>définitives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6" t="inlineStr">
        <is>
          <t>Carrés de culture (Plant X)</t>
        </is>
      </c>
      <c r="B7" s="7">
        <f>SUMIFS(Détail!$C$5:$C$30,Détail!$A$5:$A$30,A7)</f>
        <v/>
      </c>
      <c r="C7" s="6" t="inlineStr">
        <is>
          <t>définitifs (Plant X à planter)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6" t="inlineStr">
        <is>
          <t>Ancres temporaires (démolies)</t>
        </is>
      </c>
      <c r="B8" s="7">
        <f>SUMIFS(Détail!$C$5:$C$30,Détail!$A$5:$A$30,A8)</f>
        <v/>
      </c>
      <c r="C8" s="6" t="inlineStr">
        <is>
          <t>démolies à la fin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6" t="inlineStr">
        <is>
          <t>Murs de pics</t>
        </is>
      </c>
      <c r="B9" s="7">
        <f>SUMIFS(Détail!$C$5:$C$30,Détail!$A$5:$A$30,A9)</f>
        <v/>
      </c>
      <c r="C9" s="6" t="inlineStr">
        <is>
          <t>définitifs, posés à la main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6" t="inlineStr">
        <is>
          <t>Murs de chaume (démolis)</t>
        </is>
      </c>
      <c r="B10" s="7">
        <f>SUMIFS(Détail!$C$5:$C$30,Détail!$A$5:$A$30,A10)</f>
        <v/>
      </c>
      <c r="C10" s="6" t="inlineStr">
        <is>
          <t>démolis après la pose des tourelles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6" t="inlineStr">
        <is>
          <t>Équipements</t>
        </is>
      </c>
      <c r="B11" s="7">
        <f>SUMIFS(Détail!$C$5:$C$30,Détail!$A$5:$A$30,A11)</f>
        <v/>
      </c>
      <c r="C11" s="6" t="inlineStr">
        <is>
          <t>définitifs, hors plans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6" t="inlineStr">
        <is>
          <t>Tourelles (déjà en inventaire)</t>
        </is>
      </c>
      <c r="B12" s="7">
        <f>SUMIFS(Détail!$C$5:$C$30,Détail!$A$5:$A$30,A12)</f>
        <v/>
      </c>
      <c r="C12" s="6" t="inlineStr">
        <is>
          <t>définitives, déjà en inventaire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8" t="inlineStr">
        <is>
          <t>Total à poser</t>
        </is>
      </c>
      <c r="B13" s="9">
        <f>SUM(B6:B12)</f>
        <v/>
      </c>
      <c r="C13" s="10">
        <f>B13-B8-B10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4" t="inlineStr">
        <is>
          <t>Matériaux par poste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30" customHeight="1">
      <c r="A16" s="11" t="inlineStr">
        <is>
          <t>Poste</t>
        </is>
      </c>
      <c r="B16" s="11" t="inlineStr">
        <is>
          <t>Lingots de métal</t>
        </is>
      </c>
      <c r="C16" s="11" t="inlineStr">
        <is>
          <t>Pâte cimentée</t>
        </is>
      </c>
      <c r="D16" s="11" t="inlineStr">
        <is>
          <t>Électroniques</t>
        </is>
      </c>
      <c r="E16" s="11" t="inlineStr">
        <is>
          <t>Polymère</t>
        </is>
      </c>
      <c r="F16" s="11" t="inlineStr">
        <is>
          <t>Cristal</t>
        </is>
      </c>
      <c r="G16" s="11" t="inlineStr">
        <is>
          <t>Élément</t>
        </is>
      </c>
      <c r="H16" s="11" t="inlineStr">
        <is>
          <t>Perles noires</t>
        </is>
      </c>
      <c r="I16" s="11" t="inlineStr">
        <is>
          <t>Huile</t>
        </is>
      </c>
      <c r="J16" s="11" t="inlineStr">
        <is>
          <t>Poudre étincelante</t>
        </is>
      </c>
      <c r="K16" s="11" t="inlineStr">
        <is>
          <t>Cuir</t>
        </is>
      </c>
      <c r="L16" s="11" t="inlineStr">
        <is>
          <t>Fibre</t>
        </is>
      </c>
      <c r="M16" s="11" t="inlineStr">
        <is>
          <t>Chaume</t>
        </is>
      </c>
      <c r="N16" s="11" t="inlineStr">
        <is>
          <t>Bois</t>
        </is>
      </c>
      <c r="O16" s="11" t="inlineStr">
        <is>
          <t>Pierre</t>
        </is>
      </c>
    </row>
    <row r="17">
      <c r="A17" s="6" t="inlineStr">
        <is>
          <t>Structure des plans (sans la colonnade)</t>
        </is>
      </c>
      <c r="B17" s="7">
        <f>SUMIFS(Détail!$S$5:$S$30,Détail!$A$5:$A$30,$A17)</f>
        <v/>
      </c>
      <c r="C17" s="7">
        <f>SUMIFS(Détail!$T$5:$T$30,Détail!$A$5:$A$30,$A17)</f>
        <v/>
      </c>
      <c r="D17" s="7">
        <f>SUMIFS(Détail!$U$5:$U$30,Détail!$A$5:$A$30,$A17)</f>
        <v/>
      </c>
      <c r="E17" s="7">
        <f>SUMIFS(Détail!$V$5:$V$30,Détail!$A$5:$A$30,$A17)</f>
        <v/>
      </c>
      <c r="F17" s="7">
        <f>SUMIFS(Détail!$W$5:$W$30,Détail!$A$5:$A$30,$A17)</f>
        <v/>
      </c>
      <c r="G17" s="7">
        <f>SUMIFS(Détail!$X$5:$X$30,Détail!$A$5:$A$30,$A17)</f>
        <v/>
      </c>
      <c r="H17" s="7">
        <f>SUMIFS(Détail!$Y$5:$Y$30,Détail!$A$5:$A$30,$A17)</f>
        <v/>
      </c>
      <c r="I17" s="7">
        <f>SUMIFS(Détail!$Z$5:$Z$30,Détail!$A$5:$A$30,$A17)</f>
        <v/>
      </c>
      <c r="J17" s="7">
        <f>SUMIFS(Détail!$AA$5:$AA$30,Détail!$A$5:$A$30,$A17)</f>
        <v/>
      </c>
      <c r="K17" s="7">
        <f>SUMIFS(Détail!$AB$5:$AB$30,Détail!$A$5:$A$30,$A17)</f>
        <v/>
      </c>
      <c r="L17" s="7">
        <f>SUMIFS(Détail!$AC$5:$AC$30,Détail!$A$5:$A$30,$A17)</f>
        <v/>
      </c>
      <c r="M17" s="7">
        <f>SUMIFS(Détail!$AD$5:$AD$30,Détail!$A$5:$A$30,$A17)</f>
        <v/>
      </c>
      <c r="N17" s="7">
        <f>SUMIFS(Détail!$AE$5:$AE$30,Détail!$A$5:$A$30,$A17)</f>
        <v/>
      </c>
      <c r="O17" s="7">
        <f>SUMIFS(Détail!$AF$5:$AF$30,Détail!$A$5:$A$30,$A17)</f>
        <v/>
      </c>
    </row>
    <row r="18">
      <c r="A18" s="6" t="inlineStr">
        <is>
          <t>Carrés de culture (Plant X)</t>
        </is>
      </c>
      <c r="B18" s="7">
        <f>SUMIFS(Détail!$S$5:$S$30,Détail!$A$5:$A$30,$A18)</f>
        <v/>
      </c>
      <c r="C18" s="7">
        <f>SUMIFS(Détail!$T$5:$T$30,Détail!$A$5:$A$30,$A18)</f>
        <v/>
      </c>
      <c r="D18" s="7">
        <f>SUMIFS(Détail!$U$5:$U$30,Détail!$A$5:$A$30,$A18)</f>
        <v/>
      </c>
      <c r="E18" s="7">
        <f>SUMIFS(Détail!$V$5:$V$30,Détail!$A$5:$A$30,$A18)</f>
        <v/>
      </c>
      <c r="F18" s="7">
        <f>SUMIFS(Détail!$W$5:$W$30,Détail!$A$5:$A$30,$A18)</f>
        <v/>
      </c>
      <c r="G18" s="7">
        <f>SUMIFS(Détail!$X$5:$X$30,Détail!$A$5:$A$30,$A18)</f>
        <v/>
      </c>
      <c r="H18" s="7">
        <f>SUMIFS(Détail!$Y$5:$Y$30,Détail!$A$5:$A$30,$A18)</f>
        <v/>
      </c>
      <c r="I18" s="7">
        <f>SUMIFS(Détail!$Z$5:$Z$30,Détail!$A$5:$A$30,$A18)</f>
        <v/>
      </c>
      <c r="J18" s="7">
        <f>SUMIFS(Détail!$AA$5:$AA$30,Détail!$A$5:$A$30,$A18)</f>
        <v/>
      </c>
      <c r="K18" s="7">
        <f>SUMIFS(Détail!$AB$5:$AB$30,Détail!$A$5:$A$30,$A18)</f>
        <v/>
      </c>
      <c r="L18" s="7">
        <f>SUMIFS(Détail!$AC$5:$AC$30,Détail!$A$5:$A$30,$A18)</f>
        <v/>
      </c>
      <c r="M18" s="7">
        <f>SUMIFS(Détail!$AD$5:$AD$30,Détail!$A$5:$A$30,$A18)</f>
        <v/>
      </c>
      <c r="N18" s="7">
        <f>SUMIFS(Détail!$AE$5:$AE$30,Détail!$A$5:$A$30,$A18)</f>
        <v/>
      </c>
      <c r="O18" s="7">
        <f>SUMIFS(Détail!$AF$5:$AF$30,Détail!$A$5:$A$30,$A18)</f>
        <v/>
      </c>
    </row>
    <row r="19">
      <c r="A19" s="6" t="inlineStr">
        <is>
          <t>Ancres temporaires (démolies)</t>
        </is>
      </c>
      <c r="B19" s="7">
        <f>SUMIFS(Détail!$S$5:$S$30,Détail!$A$5:$A$30,$A19)</f>
        <v/>
      </c>
      <c r="C19" s="7">
        <f>SUMIFS(Détail!$T$5:$T$30,Détail!$A$5:$A$30,$A19)</f>
        <v/>
      </c>
      <c r="D19" s="7">
        <f>SUMIFS(Détail!$U$5:$U$30,Détail!$A$5:$A$30,$A19)</f>
        <v/>
      </c>
      <c r="E19" s="7">
        <f>SUMIFS(Détail!$V$5:$V$30,Détail!$A$5:$A$30,$A19)</f>
        <v/>
      </c>
      <c r="F19" s="7">
        <f>SUMIFS(Détail!$W$5:$W$30,Détail!$A$5:$A$30,$A19)</f>
        <v/>
      </c>
      <c r="G19" s="7">
        <f>SUMIFS(Détail!$X$5:$X$30,Détail!$A$5:$A$30,$A19)</f>
        <v/>
      </c>
      <c r="H19" s="7">
        <f>SUMIFS(Détail!$Y$5:$Y$30,Détail!$A$5:$A$30,$A19)</f>
        <v/>
      </c>
      <c r="I19" s="7">
        <f>SUMIFS(Détail!$Z$5:$Z$30,Détail!$A$5:$A$30,$A19)</f>
        <v/>
      </c>
      <c r="J19" s="7">
        <f>SUMIFS(Détail!$AA$5:$AA$30,Détail!$A$5:$A$30,$A19)</f>
        <v/>
      </c>
      <c r="K19" s="7">
        <f>SUMIFS(Détail!$AB$5:$AB$30,Détail!$A$5:$A$30,$A19)</f>
        <v/>
      </c>
      <c r="L19" s="7">
        <f>SUMIFS(Détail!$AC$5:$AC$30,Détail!$A$5:$A$30,$A19)</f>
        <v/>
      </c>
      <c r="M19" s="7">
        <f>SUMIFS(Détail!$AD$5:$AD$30,Détail!$A$5:$A$30,$A19)</f>
        <v/>
      </c>
      <c r="N19" s="7">
        <f>SUMIFS(Détail!$AE$5:$AE$30,Détail!$A$5:$A$30,$A19)</f>
        <v/>
      </c>
      <c r="O19" s="7">
        <f>SUMIFS(Détail!$AF$5:$AF$30,Détail!$A$5:$A$30,$A19)</f>
        <v/>
      </c>
    </row>
    <row r="20">
      <c r="A20" s="6" t="inlineStr">
        <is>
          <t>Murs de pics</t>
        </is>
      </c>
      <c r="B20" s="7">
        <f>SUMIFS(Détail!$S$5:$S$30,Détail!$A$5:$A$30,$A20)</f>
        <v/>
      </c>
      <c r="C20" s="7">
        <f>SUMIFS(Détail!$T$5:$T$30,Détail!$A$5:$A$30,$A20)</f>
        <v/>
      </c>
      <c r="D20" s="7">
        <f>SUMIFS(Détail!$U$5:$U$30,Détail!$A$5:$A$30,$A20)</f>
        <v/>
      </c>
      <c r="E20" s="7">
        <f>SUMIFS(Détail!$V$5:$V$30,Détail!$A$5:$A$30,$A20)</f>
        <v/>
      </c>
      <c r="F20" s="7">
        <f>SUMIFS(Détail!$W$5:$W$30,Détail!$A$5:$A$30,$A20)</f>
        <v/>
      </c>
      <c r="G20" s="7">
        <f>SUMIFS(Détail!$X$5:$X$30,Détail!$A$5:$A$30,$A20)</f>
        <v/>
      </c>
      <c r="H20" s="7">
        <f>SUMIFS(Détail!$Y$5:$Y$30,Détail!$A$5:$A$30,$A20)</f>
        <v/>
      </c>
      <c r="I20" s="7">
        <f>SUMIFS(Détail!$Z$5:$Z$30,Détail!$A$5:$A$30,$A20)</f>
        <v/>
      </c>
      <c r="J20" s="7">
        <f>SUMIFS(Détail!$AA$5:$AA$30,Détail!$A$5:$A$30,$A20)</f>
        <v/>
      </c>
      <c r="K20" s="7">
        <f>SUMIFS(Détail!$AB$5:$AB$30,Détail!$A$5:$A$30,$A20)</f>
        <v/>
      </c>
      <c r="L20" s="7">
        <f>SUMIFS(Détail!$AC$5:$AC$30,Détail!$A$5:$A$30,$A20)</f>
        <v/>
      </c>
      <c r="M20" s="7">
        <f>SUMIFS(Détail!$AD$5:$AD$30,Détail!$A$5:$A$30,$A20)</f>
        <v/>
      </c>
      <c r="N20" s="7">
        <f>SUMIFS(Détail!$AE$5:$AE$30,Détail!$A$5:$A$30,$A20)</f>
        <v/>
      </c>
      <c r="O20" s="7">
        <f>SUMIFS(Détail!$AF$5:$AF$30,Détail!$A$5:$A$30,$A20)</f>
        <v/>
      </c>
    </row>
    <row r="21">
      <c r="A21" s="6" t="inlineStr">
        <is>
          <t>Murs de chaume (démolis)</t>
        </is>
      </c>
      <c r="B21" s="7">
        <f>SUMIFS(Détail!$S$5:$S$30,Détail!$A$5:$A$30,$A21)</f>
        <v/>
      </c>
      <c r="C21" s="7">
        <f>SUMIFS(Détail!$T$5:$T$30,Détail!$A$5:$A$30,$A21)</f>
        <v/>
      </c>
      <c r="D21" s="7">
        <f>SUMIFS(Détail!$U$5:$U$30,Détail!$A$5:$A$30,$A21)</f>
        <v/>
      </c>
      <c r="E21" s="7">
        <f>SUMIFS(Détail!$V$5:$V$30,Détail!$A$5:$A$30,$A21)</f>
        <v/>
      </c>
      <c r="F21" s="7">
        <f>SUMIFS(Détail!$W$5:$W$30,Détail!$A$5:$A$30,$A21)</f>
        <v/>
      </c>
      <c r="G21" s="7">
        <f>SUMIFS(Détail!$X$5:$X$30,Détail!$A$5:$A$30,$A21)</f>
        <v/>
      </c>
      <c r="H21" s="7">
        <f>SUMIFS(Détail!$Y$5:$Y$30,Détail!$A$5:$A$30,$A21)</f>
        <v/>
      </c>
      <c r="I21" s="7">
        <f>SUMIFS(Détail!$Z$5:$Z$30,Détail!$A$5:$A$30,$A21)</f>
        <v/>
      </c>
      <c r="J21" s="7">
        <f>SUMIFS(Détail!$AA$5:$AA$30,Détail!$A$5:$A$30,$A21)</f>
        <v/>
      </c>
      <c r="K21" s="7">
        <f>SUMIFS(Détail!$AB$5:$AB$30,Détail!$A$5:$A$30,$A21)</f>
        <v/>
      </c>
      <c r="L21" s="7">
        <f>SUMIFS(Détail!$AC$5:$AC$30,Détail!$A$5:$A$30,$A21)</f>
        <v/>
      </c>
      <c r="M21" s="7">
        <f>SUMIFS(Détail!$AD$5:$AD$30,Détail!$A$5:$A$30,$A21)</f>
        <v/>
      </c>
      <c r="N21" s="7">
        <f>SUMIFS(Détail!$AE$5:$AE$30,Détail!$A$5:$A$30,$A21)</f>
        <v/>
      </c>
      <c r="O21" s="7">
        <f>SUMIFS(Détail!$AF$5:$AF$30,Détail!$A$5:$A$30,$A21)</f>
        <v/>
      </c>
    </row>
    <row r="22">
      <c r="A22" s="6" t="inlineStr">
        <is>
          <t>Équipements</t>
        </is>
      </c>
      <c r="B22" s="7">
        <f>SUMIFS(Détail!$S$5:$S$30,Détail!$A$5:$A$30,$A22)</f>
        <v/>
      </c>
      <c r="C22" s="7">
        <f>SUMIFS(Détail!$T$5:$T$30,Détail!$A$5:$A$30,$A22)</f>
        <v/>
      </c>
      <c r="D22" s="7">
        <f>SUMIFS(Détail!$U$5:$U$30,Détail!$A$5:$A$30,$A22)</f>
        <v/>
      </c>
      <c r="E22" s="7">
        <f>SUMIFS(Détail!$V$5:$V$30,Détail!$A$5:$A$30,$A22)</f>
        <v/>
      </c>
      <c r="F22" s="7">
        <f>SUMIFS(Détail!$W$5:$W$30,Détail!$A$5:$A$30,$A22)</f>
        <v/>
      </c>
      <c r="G22" s="7">
        <f>SUMIFS(Détail!$X$5:$X$30,Détail!$A$5:$A$30,$A22)</f>
        <v/>
      </c>
      <c r="H22" s="7">
        <f>SUMIFS(Détail!$Y$5:$Y$30,Détail!$A$5:$A$30,$A22)</f>
        <v/>
      </c>
      <c r="I22" s="7">
        <f>SUMIFS(Détail!$Z$5:$Z$30,Détail!$A$5:$A$30,$A22)</f>
        <v/>
      </c>
      <c r="J22" s="7">
        <f>SUMIFS(Détail!$AA$5:$AA$30,Détail!$A$5:$A$30,$A22)</f>
        <v/>
      </c>
      <c r="K22" s="7">
        <f>SUMIFS(Détail!$AB$5:$AB$30,Détail!$A$5:$A$30,$A22)</f>
        <v/>
      </c>
      <c r="L22" s="7">
        <f>SUMIFS(Détail!$AC$5:$AC$30,Détail!$A$5:$A$30,$A22)</f>
        <v/>
      </c>
      <c r="M22" s="7">
        <f>SUMIFS(Détail!$AD$5:$AD$30,Détail!$A$5:$A$30,$A22)</f>
        <v/>
      </c>
      <c r="N22" s="7">
        <f>SUMIFS(Détail!$AE$5:$AE$30,Détail!$A$5:$A$30,$A22)</f>
        <v/>
      </c>
      <c r="O22" s="7">
        <f>SUMIFS(Détail!$AF$5:$AF$30,Détail!$A$5:$A$30,$A22)</f>
        <v/>
      </c>
    </row>
    <row r="23">
      <c r="A23" s="6" t="inlineStr">
        <is>
          <t>Tourelles (déjà en inventaire)</t>
        </is>
      </c>
      <c r="B23" s="7">
        <f>SUMIFS(Détail!$S$5:$S$30,Détail!$A$5:$A$30,$A23)</f>
        <v/>
      </c>
      <c r="C23" s="7">
        <f>SUMIFS(Détail!$T$5:$T$30,Détail!$A$5:$A$30,$A23)</f>
        <v/>
      </c>
      <c r="D23" s="7">
        <f>SUMIFS(Détail!$U$5:$U$30,Détail!$A$5:$A$30,$A23)</f>
        <v/>
      </c>
      <c r="E23" s="7">
        <f>SUMIFS(Détail!$V$5:$V$30,Détail!$A$5:$A$30,$A23)</f>
        <v/>
      </c>
      <c r="F23" s="7">
        <f>SUMIFS(Détail!$W$5:$W$30,Détail!$A$5:$A$30,$A23)</f>
        <v/>
      </c>
      <c r="G23" s="7">
        <f>SUMIFS(Détail!$X$5:$X$30,Détail!$A$5:$A$30,$A23)</f>
        <v/>
      </c>
      <c r="H23" s="7">
        <f>SUMIFS(Détail!$Y$5:$Y$30,Détail!$A$5:$A$30,$A23)</f>
        <v/>
      </c>
      <c r="I23" s="7">
        <f>SUMIFS(Détail!$Z$5:$Z$30,Détail!$A$5:$A$30,$A23)</f>
        <v/>
      </c>
      <c r="J23" s="7">
        <f>SUMIFS(Détail!$AA$5:$AA$30,Détail!$A$5:$A$30,$A23)</f>
        <v/>
      </c>
      <c r="K23" s="7">
        <f>SUMIFS(Détail!$AB$5:$AB$30,Détail!$A$5:$A$30,$A23)</f>
        <v/>
      </c>
      <c r="L23" s="7">
        <f>SUMIFS(Détail!$AC$5:$AC$30,Détail!$A$5:$A$30,$A23)</f>
        <v/>
      </c>
      <c r="M23" s="7">
        <f>SUMIFS(Détail!$AD$5:$AD$30,Détail!$A$5:$A$30,$A23)</f>
        <v/>
      </c>
      <c r="N23" s="7">
        <f>SUMIFS(Détail!$AE$5:$AE$30,Détail!$A$5:$A$30,$A23)</f>
        <v/>
      </c>
      <c r="O23" s="7">
        <f>SUMIFS(Détail!$AF$5:$AF$30,Détail!$A$5:$A$30,$A23)</f>
        <v/>
      </c>
    </row>
    <row r="24">
      <c r="A24" s="8" t="inlineStr">
        <is>
          <t>À fabriquer (hors tourelles)</t>
        </is>
      </c>
      <c r="B24" s="9">
        <f>SUM(B17:B22)</f>
        <v/>
      </c>
      <c r="C24" s="9">
        <f>SUM(C17:C22)</f>
        <v/>
      </c>
      <c r="D24" s="9">
        <f>SUM(D17:D22)</f>
        <v/>
      </c>
      <c r="E24" s="9">
        <f>SUM(E17:E22)</f>
        <v/>
      </c>
      <c r="F24" s="9">
        <f>SUM(F17:F22)</f>
        <v/>
      </c>
      <c r="G24" s="9">
        <f>SUM(G17:G22)</f>
        <v/>
      </c>
      <c r="H24" s="9">
        <f>SUM(H17:H22)</f>
        <v/>
      </c>
      <c r="I24" s="9">
        <f>SUM(I17:I22)</f>
        <v/>
      </c>
      <c r="J24" s="9">
        <f>SUM(J17:J22)</f>
        <v/>
      </c>
      <c r="K24" s="9">
        <f>SUM(K17:K22)</f>
        <v/>
      </c>
      <c r="L24" s="9">
        <f>SUM(L17:L22)</f>
        <v/>
      </c>
      <c r="M24" s="9">
        <f>SUM(M17:M22)</f>
        <v/>
      </c>
      <c r="N24" s="9">
        <f>SUM(N17:N22)</f>
        <v/>
      </c>
      <c r="O24" s="9">
        <f>SUM(O17:O22)</f>
        <v/>
      </c>
    </row>
    <row r="25">
      <c r="A25" s="8" t="inlineStr">
        <is>
          <t>Total avec les tourelles</t>
        </is>
      </c>
      <c r="B25" s="9">
        <f>SUM(B17:B23)</f>
        <v/>
      </c>
      <c r="C25" s="9">
        <f>SUM(C17:C23)</f>
        <v/>
      </c>
      <c r="D25" s="9">
        <f>SUM(D17:D23)</f>
        <v/>
      </c>
      <c r="E25" s="9">
        <f>SUM(E17:E23)</f>
        <v/>
      </c>
      <c r="F25" s="9">
        <f>SUM(F17:F23)</f>
        <v/>
      </c>
      <c r="G25" s="9">
        <f>SUM(G17:G23)</f>
        <v/>
      </c>
      <c r="H25" s="9">
        <f>SUM(H17:H23)</f>
        <v/>
      </c>
      <c r="I25" s="9">
        <f>SUM(I17:I23)</f>
        <v/>
      </c>
      <c r="J25" s="9">
        <f>SUM(J17:J23)</f>
        <v/>
      </c>
      <c r="K25" s="9">
        <f>SUM(K17:K23)</f>
        <v/>
      </c>
      <c r="L25" s="9">
        <f>SUM(L17:L23)</f>
        <v/>
      </c>
      <c r="M25" s="9">
        <f>SUM(M17:M23)</f>
        <v/>
      </c>
      <c r="N25" s="9">
        <f>SUM(N17:N23)</f>
        <v/>
      </c>
      <c r="O25" s="9">
        <f>SUM(O17:O23)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4" t="inlineStr">
        <is>
          <t>Équivalent en ressources brutes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4" t="inlineStr">
        <is>
          <t>Recette (hypothèse, à vérifier sur votre serveur)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12" t="inlineStr">
        <is>
          <t>Minerai par lingot</t>
        </is>
      </c>
      <c r="B29" s="13" t="n">
        <v>2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12" t="inlineStr">
        <is>
          <t>Perles de silice par électronique</t>
        </is>
      </c>
      <c r="B30" s="13" t="n">
        <v>3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12" t="inlineStr">
        <is>
          <t>Lingot par électronique</t>
        </is>
      </c>
      <c r="B31" s="13" t="n">
        <v>1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12" t="inlineStr">
        <is>
          <t>Obsidienne par polymère</t>
        </is>
      </c>
      <c r="B32" s="13" t="n">
        <v>2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12" t="inlineStr">
        <is>
          <t>Pâte par polymère</t>
        </is>
      </c>
      <c r="B33" s="13" t="n">
        <v>2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12" t="inlineStr">
        <is>
          <t>Chitine/kératine par pâte</t>
        </is>
      </c>
      <c r="B34" s="13" t="n">
        <v>4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12" t="inlineStr">
        <is>
          <t>Pierre par pâte</t>
        </is>
      </c>
      <c r="B35" s="13" t="n">
        <v>8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12" t="inlineStr">
        <is>
          <t>Silex par poudre étincelante</t>
        </is>
      </c>
      <c r="B36" s="13" t="n">
        <v>2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12" t="inlineStr">
        <is>
          <t>Pierre par poudre étincelante</t>
        </is>
      </c>
      <c r="B37" s="13" t="n">
        <v>1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5" t="inlineStr">
        <is>
          <t>Ressource brute</t>
        </is>
      </c>
      <c r="B39" s="5" t="inlineStr">
        <is>
          <t>Hors tourelles</t>
        </is>
      </c>
      <c r="C39" s="5" t="inlineStr">
        <is>
          <t>Avec les tourelles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6" t="inlineStr">
        <is>
          <t>Lingots de métal au total (électroniques comprises)</t>
        </is>
      </c>
      <c r="B40" s="14">
        <f>(B24+$B$31*D24)</f>
        <v/>
      </c>
      <c r="C40" s="14">
        <f>(B25+$B$31*D25)</f>
        <v/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6" t="inlineStr">
        <is>
          <t>Minerai de métal</t>
        </is>
      </c>
      <c r="B41" s="14">
        <f>$B$29*(B24+$B$31*D24)</f>
        <v/>
      </c>
      <c r="C41" s="14">
        <f>$B$29*(B25+$B$31*D25)</f>
        <v/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6" t="inlineStr">
        <is>
          <t>Pâte cimentée au total (polymère compris)</t>
        </is>
      </c>
      <c r="B42" s="14">
        <f>(C24+$B$33*E24)</f>
        <v/>
      </c>
      <c r="C42" s="14">
        <f>(C25+$B$33*E25)</f>
        <v/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6" t="inlineStr">
        <is>
          <t>Chitine ou kératine</t>
        </is>
      </c>
      <c r="B43" s="14">
        <f>$B$34*(C24+$B$33*E24)</f>
        <v/>
      </c>
      <c r="C43" s="14">
        <f>$B$34*(C25+$B$33*E25)</f>
        <v/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6" t="inlineStr">
        <is>
          <t>Pierre</t>
        </is>
      </c>
      <c r="B44" s="14">
        <f>$B$35*(C24+$B$33*E24)+$B$37*J24+O24</f>
        <v/>
      </c>
      <c r="C44" s="14">
        <f>$B$35*(C25+$B$33*E25)+$B$37*J25+O25</f>
        <v/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6" t="inlineStr">
        <is>
          <t>Obsidienne</t>
        </is>
      </c>
      <c r="B45" s="14">
        <f>$B$32*E24</f>
        <v/>
      </c>
      <c r="C45" s="14">
        <f>$B$32*E25</f>
        <v/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6" t="inlineStr">
        <is>
          <t>Perles de silice</t>
        </is>
      </c>
      <c r="B46" s="14">
        <f>$B$30*D24</f>
        <v/>
      </c>
      <c r="C46" s="14">
        <f>$B$30*D25</f>
        <v/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6" t="inlineStr">
        <is>
          <t>Silex</t>
        </is>
      </c>
      <c r="B47" s="14">
        <f>$B$36*J24</f>
        <v/>
      </c>
      <c r="C47" s="14">
        <f>$B$36*J25</f>
        <v/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3" t="inlineStr">
        <is>
          <t>Option colonnade (plan 2  226 piliers) : +5 650 lingots et +1 582 pâte  non comptés ici.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3" t="inlineStr">
        <is>
          <t>Option rehausse du pod  par niveau (76 pièces) : +1 900 lingots et +532 pâte.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3" t="inlineStr">
        <is>
          <t>Étoile centrale déjà construite : retirez 87 fondations et 174 triangles (−8 700 lingots, −2 697 pâte) dans l'onglet Détail.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3" t="inlineStr">
        <is>
          <t>Source des quantités : outils/forteresse.py → donnees/synthese.json (bilan_complet). Limites moteur : module 09.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1" t="inlineStr">
        <is>
          <t>Coût et nombre de structures, plan par plan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>
      <c r="A2" s="3" t="inlineStr">
        <is>
          <t>Nombre de pièces (bleu) et coût unitaire repris de l'onglet Détail (vert) : modifiez l'onglet Détail, tout se recalcule. Tourelles = déjà en inventaire : la ligne « à fabriquer » les exclut. Récapitulatif en bas.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</row>
    <row r="4">
      <c r="A4" s="15" t="inlineStr">
        <is>
          <t>Plan 01 sol complet</t>
        </is>
      </c>
      <c r="B4" s="2" t="n"/>
      <c r="C4" s="3" t="inlineStr">
        <is>
          <t>1030 entrées dans le template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</row>
    <row r="5" ht="30" customHeight="1">
      <c r="A5" s="11" t="inlineStr">
        <is>
          <t>Pièce</t>
        </is>
      </c>
      <c r="B5" s="11" t="inlineStr">
        <is>
          <t>Nombre</t>
        </is>
      </c>
      <c r="C5" s="11" t="inlineStr">
        <is>
          <t>Lingots de métal / u</t>
        </is>
      </c>
      <c r="D5" s="11" t="inlineStr">
        <is>
          <t>Pâte cimentée / u</t>
        </is>
      </c>
      <c r="E5" s="11" t="inlineStr">
        <is>
          <t>Électroniques / u</t>
        </is>
      </c>
      <c r="F5" s="11" t="inlineStr">
        <is>
          <t>Polymère / u</t>
        </is>
      </c>
      <c r="G5" s="11" t="inlineStr">
        <is>
          <t>Cristal / u</t>
        </is>
      </c>
      <c r="H5" s="11" t="inlineStr">
        <is>
          <t>Élément / u</t>
        </is>
      </c>
      <c r="I5" s="11" t="inlineStr">
        <is>
          <t>Perles noires / u</t>
        </is>
      </c>
      <c r="J5" s="11" t="inlineStr">
        <is>
          <t>Huile / u</t>
        </is>
      </c>
      <c r="K5" s="11" t="inlineStr">
        <is>
          <t>Poudre étincelante / u</t>
        </is>
      </c>
      <c r="L5" s="11" t="inlineStr">
        <is>
          <t>Cuir / u</t>
        </is>
      </c>
      <c r="M5" s="11" t="inlineStr">
        <is>
          <t>Fibre / u</t>
        </is>
      </c>
      <c r="N5" s="11" t="inlineStr">
        <is>
          <t>Chaume / u</t>
        </is>
      </c>
      <c r="O5" s="11" t="inlineStr">
        <is>
          <t>Bois / u</t>
        </is>
      </c>
      <c r="P5" s="11" t="inlineStr">
        <is>
          <t>Pierre / u</t>
        </is>
      </c>
      <c r="Q5" s="11" t="inlineStr">
        <is>
          <t>Lingots de métal total</t>
        </is>
      </c>
      <c r="R5" s="11" t="inlineStr">
        <is>
          <t>Pâte cimentée total</t>
        </is>
      </c>
      <c r="S5" s="11" t="inlineStr">
        <is>
          <t>Électroniques total</t>
        </is>
      </c>
      <c r="T5" s="11" t="inlineStr">
        <is>
          <t>Polymère total</t>
        </is>
      </c>
      <c r="U5" s="11" t="inlineStr">
        <is>
          <t>Cristal total</t>
        </is>
      </c>
      <c r="V5" s="11" t="inlineStr">
        <is>
          <t>Élément total</t>
        </is>
      </c>
      <c r="W5" s="11" t="inlineStr">
        <is>
          <t>Perles noires total</t>
        </is>
      </c>
      <c r="X5" s="11" t="inlineStr">
        <is>
          <t>Huile total</t>
        </is>
      </c>
      <c r="Y5" s="11" t="inlineStr">
        <is>
          <t>Poudre étincelante total</t>
        </is>
      </c>
      <c r="Z5" s="11" t="inlineStr">
        <is>
          <t>Cuir total</t>
        </is>
      </c>
      <c r="AA5" s="11" t="inlineStr">
        <is>
          <t>Fibre total</t>
        </is>
      </c>
      <c r="AB5" s="11" t="inlineStr">
        <is>
          <t>Chaume total</t>
        </is>
      </c>
      <c r="AC5" s="11" t="inlineStr">
        <is>
          <t>Bois total</t>
        </is>
      </c>
      <c r="AD5" s="11" t="inlineStr">
        <is>
          <t>Pierre total</t>
        </is>
      </c>
    </row>
    <row r="6">
      <c r="A6" s="6" t="inlineStr">
        <is>
          <t>Fondation triangle métal</t>
        </is>
      </c>
      <c r="B6" s="16" t="n">
        <v>684</v>
      </c>
      <c r="C6" s="7">
        <f>IFERROR(INDEX(Détail!$E$5:$E$30,MATCH("Fondation triangle métal",Détail!$B$5:$B$30,0)),0)</f>
        <v/>
      </c>
      <c r="D6" s="7">
        <f>IFERROR(INDEX(Détail!$F$5:$F$30,MATCH("Fondation triangle métal",Détail!$B$5:$B$30,0)),0)</f>
        <v/>
      </c>
      <c r="E6" s="7">
        <f>IFERROR(INDEX(Détail!$G$5:$G$30,MATCH("Fondation triangle métal",Détail!$B$5:$B$30,0)),0)</f>
        <v/>
      </c>
      <c r="F6" s="7">
        <f>IFERROR(INDEX(Détail!$H$5:$H$30,MATCH("Fondation triangle métal",Détail!$B$5:$B$30,0)),0)</f>
        <v/>
      </c>
      <c r="G6" s="7">
        <f>IFERROR(INDEX(Détail!$I$5:$I$30,MATCH("Fondation triangle métal",Détail!$B$5:$B$30,0)),0)</f>
        <v/>
      </c>
      <c r="H6" s="7">
        <f>IFERROR(INDEX(Détail!$J$5:$J$30,MATCH("Fondation triangle métal",Détail!$B$5:$B$30,0)),0)</f>
        <v/>
      </c>
      <c r="I6" s="7">
        <f>IFERROR(INDEX(Détail!$K$5:$K$30,MATCH("Fondation triangle métal",Détail!$B$5:$B$30,0)),0)</f>
        <v/>
      </c>
      <c r="J6" s="7">
        <f>IFERROR(INDEX(Détail!$L$5:$L$30,MATCH("Fondation triangle métal",Détail!$B$5:$B$30,0)),0)</f>
        <v/>
      </c>
      <c r="K6" s="7">
        <f>IFERROR(INDEX(Détail!$M$5:$M$30,MATCH("Fondation triangle métal",Détail!$B$5:$B$30,0)),0)</f>
        <v/>
      </c>
      <c r="L6" s="7">
        <f>IFERROR(INDEX(Détail!$N$5:$N$30,MATCH("Fondation triangle métal",Détail!$B$5:$B$30,0)),0)</f>
        <v/>
      </c>
      <c r="M6" s="7">
        <f>IFERROR(INDEX(Détail!$O$5:$O$30,MATCH("Fondation triangle métal",Détail!$B$5:$B$30,0)),0)</f>
        <v/>
      </c>
      <c r="N6" s="7">
        <f>IFERROR(INDEX(Détail!$P$5:$P$30,MATCH("Fondation triangle métal",Détail!$B$5:$B$30,0)),0)</f>
        <v/>
      </c>
      <c r="O6" s="7">
        <f>IFERROR(INDEX(Détail!$Q$5:$Q$30,MATCH("Fondation triangle métal",Détail!$B$5:$B$30,0)),0)</f>
        <v/>
      </c>
      <c r="P6" s="7">
        <f>IFERROR(INDEX(Détail!$R$5:$R$30,MATCH("Fondation triangle métal",Détail!$B$5:$B$30,0)),0)</f>
        <v/>
      </c>
      <c r="Q6" s="14">
        <f>$B6*C6</f>
        <v/>
      </c>
      <c r="R6" s="14">
        <f>$B6*D6</f>
        <v/>
      </c>
      <c r="S6" s="14">
        <f>$B6*E6</f>
        <v/>
      </c>
      <c r="T6" s="14">
        <f>$B6*F6</f>
        <v/>
      </c>
      <c r="U6" s="14">
        <f>$B6*G6</f>
        <v/>
      </c>
      <c r="V6" s="14">
        <f>$B6*H6</f>
        <v/>
      </c>
      <c r="W6" s="14">
        <f>$B6*I6</f>
        <v/>
      </c>
      <c r="X6" s="14">
        <f>$B6*J6</f>
        <v/>
      </c>
      <c r="Y6" s="14">
        <f>$B6*K6</f>
        <v/>
      </c>
      <c r="Z6" s="14">
        <f>$B6*L6</f>
        <v/>
      </c>
      <c r="AA6" s="14">
        <f>$B6*M6</f>
        <v/>
      </c>
      <c r="AB6" s="14">
        <f>$B6*N6</f>
        <v/>
      </c>
      <c r="AC6" s="14">
        <f>$B6*O6</f>
        <v/>
      </c>
      <c r="AD6" s="14">
        <f>$B6*P6</f>
        <v/>
      </c>
    </row>
    <row r="7">
      <c r="A7" s="6" t="inlineStr">
        <is>
          <t>Fondation métal</t>
        </is>
      </c>
      <c r="B7" s="16" t="n">
        <v>344</v>
      </c>
      <c r="C7" s="7">
        <f>IFERROR(INDEX(Détail!$E$5:$E$30,MATCH("Fondation métal",Détail!$B$5:$B$30,0)),0)</f>
        <v/>
      </c>
      <c r="D7" s="7">
        <f>IFERROR(INDEX(Détail!$F$5:$F$30,MATCH("Fondation métal",Détail!$B$5:$B$30,0)),0)</f>
        <v/>
      </c>
      <c r="E7" s="7">
        <f>IFERROR(INDEX(Détail!$G$5:$G$30,MATCH("Fondation métal",Détail!$B$5:$B$30,0)),0)</f>
        <v/>
      </c>
      <c r="F7" s="7">
        <f>IFERROR(INDEX(Détail!$H$5:$H$30,MATCH("Fondation métal",Détail!$B$5:$B$30,0)),0)</f>
        <v/>
      </c>
      <c r="G7" s="7">
        <f>IFERROR(INDEX(Détail!$I$5:$I$30,MATCH("Fondation métal",Détail!$B$5:$B$30,0)),0)</f>
        <v/>
      </c>
      <c r="H7" s="7">
        <f>IFERROR(INDEX(Détail!$J$5:$J$30,MATCH("Fondation métal",Détail!$B$5:$B$30,0)),0)</f>
        <v/>
      </c>
      <c r="I7" s="7">
        <f>IFERROR(INDEX(Détail!$K$5:$K$30,MATCH("Fondation métal",Détail!$B$5:$B$30,0)),0)</f>
        <v/>
      </c>
      <c r="J7" s="7">
        <f>IFERROR(INDEX(Détail!$L$5:$L$30,MATCH("Fondation métal",Détail!$B$5:$B$30,0)),0)</f>
        <v/>
      </c>
      <c r="K7" s="7">
        <f>IFERROR(INDEX(Détail!$M$5:$M$30,MATCH("Fondation métal",Détail!$B$5:$B$30,0)),0)</f>
        <v/>
      </c>
      <c r="L7" s="7">
        <f>IFERROR(INDEX(Détail!$N$5:$N$30,MATCH("Fondation métal",Détail!$B$5:$B$30,0)),0)</f>
        <v/>
      </c>
      <c r="M7" s="7">
        <f>IFERROR(INDEX(Détail!$O$5:$O$30,MATCH("Fondation métal",Détail!$B$5:$B$30,0)),0)</f>
        <v/>
      </c>
      <c r="N7" s="7">
        <f>IFERROR(INDEX(Détail!$P$5:$P$30,MATCH("Fondation métal",Détail!$B$5:$B$30,0)),0)</f>
        <v/>
      </c>
      <c r="O7" s="7">
        <f>IFERROR(INDEX(Détail!$Q$5:$Q$30,MATCH("Fondation métal",Détail!$B$5:$B$30,0)),0)</f>
        <v/>
      </c>
      <c r="P7" s="7">
        <f>IFERROR(INDEX(Détail!$R$5:$R$30,MATCH("Fondation métal",Détail!$B$5:$B$30,0)),0)</f>
        <v/>
      </c>
      <c r="Q7" s="14">
        <f>$B7*C7</f>
        <v/>
      </c>
      <c r="R7" s="14">
        <f>$B7*D7</f>
        <v/>
      </c>
      <c r="S7" s="14">
        <f>$B7*E7</f>
        <v/>
      </c>
      <c r="T7" s="14">
        <f>$B7*F7</f>
        <v/>
      </c>
      <c r="U7" s="14">
        <f>$B7*G7</f>
        <v/>
      </c>
      <c r="V7" s="14">
        <f>$B7*H7</f>
        <v/>
      </c>
      <c r="W7" s="14">
        <f>$B7*I7</f>
        <v/>
      </c>
      <c r="X7" s="14">
        <f>$B7*J7</f>
        <v/>
      </c>
      <c r="Y7" s="14">
        <f>$B7*K7</f>
        <v/>
      </c>
      <c r="Z7" s="14">
        <f>$B7*L7</f>
        <v/>
      </c>
      <c r="AA7" s="14">
        <f>$B7*M7</f>
        <v/>
      </c>
      <c r="AB7" s="14">
        <f>$B7*N7</f>
        <v/>
      </c>
      <c r="AC7" s="14">
        <f>$B7*O7</f>
        <v/>
      </c>
      <c r="AD7" s="14">
        <f>$B7*P7</f>
        <v/>
      </c>
    </row>
    <row r="8">
      <c r="A8" s="8" t="inlineStr">
        <is>
          <t>Total</t>
        </is>
      </c>
      <c r="B8" s="9">
        <f>SUM(B6:B7)</f>
        <v/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9">
        <f>SUM(Q6:Q7)</f>
        <v/>
      </c>
      <c r="R8" s="9">
        <f>SUM(R6:R7)</f>
        <v/>
      </c>
      <c r="S8" s="9">
        <f>SUM(S6:S7)</f>
        <v/>
      </c>
      <c r="T8" s="9">
        <f>SUM(T6:T7)</f>
        <v/>
      </c>
      <c r="U8" s="9">
        <f>SUM(U6:U7)</f>
        <v/>
      </c>
      <c r="V8" s="9">
        <f>SUM(V6:V7)</f>
        <v/>
      </c>
      <c r="W8" s="9">
        <f>SUM(W6:W7)</f>
        <v/>
      </c>
      <c r="X8" s="9">
        <f>SUM(X6:X7)</f>
        <v/>
      </c>
      <c r="Y8" s="9">
        <f>SUM(Y6:Y7)</f>
        <v/>
      </c>
      <c r="Z8" s="9">
        <f>SUM(Z6:Z7)</f>
        <v/>
      </c>
      <c r="AA8" s="9">
        <f>SUM(AA6:AA7)</f>
        <v/>
      </c>
      <c r="AB8" s="9">
        <f>SUM(AB6:AB7)</f>
        <v/>
      </c>
      <c r="AC8" s="9">
        <f>SUM(AC6:AC7)</f>
        <v/>
      </c>
      <c r="AD8" s="9">
        <f>SUM(AD6:AD7)</f>
        <v/>
      </c>
    </row>
    <row r="9">
      <c r="A9" s="8" t="inlineStr">
        <is>
          <t>À fabriquer (hors tourelles)</t>
        </is>
      </c>
      <c r="B9" s="9">
        <f>SUM(B6:B7)-SUMIF(A6:A7,"* (inventaire)",B6:B7)</f>
        <v/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9">
        <f>SUM(Q6:Q7)-SUMIF(A6:A7,"* (inventaire)",Q6:Q7)</f>
        <v/>
      </c>
      <c r="R9" s="9">
        <f>SUM(R6:R7)-SUMIF(A6:A7,"* (inventaire)",R6:R7)</f>
        <v/>
      </c>
      <c r="S9" s="9">
        <f>SUM(S6:S7)-SUMIF(A6:A7,"* (inventaire)",S6:S7)</f>
        <v/>
      </c>
      <c r="T9" s="9">
        <f>SUM(T6:T7)-SUMIF(A6:A7,"* (inventaire)",T6:T7)</f>
        <v/>
      </c>
      <c r="U9" s="9">
        <f>SUM(U6:U7)-SUMIF(A6:A7,"* (inventaire)",U6:U7)</f>
        <v/>
      </c>
      <c r="V9" s="9">
        <f>SUM(V6:V7)-SUMIF(A6:A7,"* (inventaire)",V6:V7)</f>
        <v/>
      </c>
      <c r="W9" s="9">
        <f>SUM(W6:W7)-SUMIF(A6:A7,"* (inventaire)",W6:W7)</f>
        <v/>
      </c>
      <c r="X9" s="9">
        <f>SUM(X6:X7)-SUMIF(A6:A7,"* (inventaire)",X6:X7)</f>
        <v/>
      </c>
      <c r="Y9" s="9">
        <f>SUM(Y6:Y7)-SUMIF(A6:A7,"* (inventaire)",Y6:Y7)</f>
        <v/>
      </c>
      <c r="Z9" s="9">
        <f>SUM(Z6:Z7)-SUMIF(A6:A7,"* (inventaire)",Z6:Z7)</f>
        <v/>
      </c>
      <c r="AA9" s="9">
        <f>SUM(AA6:AA7)-SUMIF(A6:A7,"* (inventaire)",AA6:AA7)</f>
        <v/>
      </c>
      <c r="AB9" s="9">
        <f>SUM(AB6:AB7)-SUMIF(A6:A7,"* (inventaire)",AB6:AB7)</f>
        <v/>
      </c>
      <c r="AC9" s="9">
        <f>SUM(AC6:AC7)-SUMIF(A6:A7,"* (inventaire)",AC6:AC7)</f>
        <v/>
      </c>
      <c r="AD9" s="9">
        <f>SUM(AD6:AD7)-SUMIF(A6:A7,"* (inventaire)",AD6:AD7)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</row>
    <row r="11">
      <c r="A11" s="15" t="inlineStr">
        <is>
          <t>Plan 02 colonnade option</t>
        </is>
      </c>
      <c r="B11" s="2" t="n"/>
      <c r="C11" s="3" t="inlineStr">
        <is>
          <t>227 entrées dans le template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</row>
    <row r="12" ht="30" customHeight="1">
      <c r="A12" s="11" t="inlineStr">
        <is>
          <t>Pièce</t>
        </is>
      </c>
      <c r="B12" s="11" t="inlineStr">
        <is>
          <t>Nombre</t>
        </is>
      </c>
      <c r="C12" s="11" t="inlineStr">
        <is>
          <t>Lingots de métal / u</t>
        </is>
      </c>
      <c r="D12" s="11" t="inlineStr">
        <is>
          <t>Pâte cimentée / u</t>
        </is>
      </c>
      <c r="E12" s="11" t="inlineStr">
        <is>
          <t>Électroniques / u</t>
        </is>
      </c>
      <c r="F12" s="11" t="inlineStr">
        <is>
          <t>Polymère / u</t>
        </is>
      </c>
      <c r="G12" s="11" t="inlineStr">
        <is>
          <t>Cristal / u</t>
        </is>
      </c>
      <c r="H12" s="11" t="inlineStr">
        <is>
          <t>Élément / u</t>
        </is>
      </c>
      <c r="I12" s="11" t="inlineStr">
        <is>
          <t>Perles noires / u</t>
        </is>
      </c>
      <c r="J12" s="11" t="inlineStr">
        <is>
          <t>Huile / u</t>
        </is>
      </c>
      <c r="K12" s="11" t="inlineStr">
        <is>
          <t>Poudre étincelante / u</t>
        </is>
      </c>
      <c r="L12" s="11" t="inlineStr">
        <is>
          <t>Cuir / u</t>
        </is>
      </c>
      <c r="M12" s="11" t="inlineStr">
        <is>
          <t>Fibre / u</t>
        </is>
      </c>
      <c r="N12" s="11" t="inlineStr">
        <is>
          <t>Chaume / u</t>
        </is>
      </c>
      <c r="O12" s="11" t="inlineStr">
        <is>
          <t>Bois / u</t>
        </is>
      </c>
      <c r="P12" s="11" t="inlineStr">
        <is>
          <t>Pierre / u</t>
        </is>
      </c>
      <c r="Q12" s="11" t="inlineStr">
        <is>
          <t>Lingots de métal total</t>
        </is>
      </c>
      <c r="R12" s="11" t="inlineStr">
        <is>
          <t>Pâte cimentée total</t>
        </is>
      </c>
      <c r="S12" s="11" t="inlineStr">
        <is>
          <t>Électroniques total</t>
        </is>
      </c>
      <c r="T12" s="11" t="inlineStr">
        <is>
          <t>Polymère total</t>
        </is>
      </c>
      <c r="U12" s="11" t="inlineStr">
        <is>
          <t>Cristal total</t>
        </is>
      </c>
      <c r="V12" s="11" t="inlineStr">
        <is>
          <t>Élément total</t>
        </is>
      </c>
      <c r="W12" s="11" t="inlineStr">
        <is>
          <t>Perles noires total</t>
        </is>
      </c>
      <c r="X12" s="11" t="inlineStr">
        <is>
          <t>Huile total</t>
        </is>
      </c>
      <c r="Y12" s="11" t="inlineStr">
        <is>
          <t>Poudre étincelante total</t>
        </is>
      </c>
      <c r="Z12" s="11" t="inlineStr">
        <is>
          <t>Cuir total</t>
        </is>
      </c>
      <c r="AA12" s="11" t="inlineStr">
        <is>
          <t>Fibre total</t>
        </is>
      </c>
      <c r="AB12" s="11" t="inlineStr">
        <is>
          <t>Chaume total</t>
        </is>
      </c>
      <c r="AC12" s="11" t="inlineStr">
        <is>
          <t>Bois total</t>
        </is>
      </c>
      <c r="AD12" s="11" t="inlineStr">
        <is>
          <t>Pierre total</t>
        </is>
      </c>
    </row>
    <row r="13">
      <c r="A13" s="6" t="inlineStr">
        <is>
          <t>Pilier métal</t>
        </is>
      </c>
      <c r="B13" s="16" t="n">
        <v>226</v>
      </c>
      <c r="C13" s="7">
        <f>IFERROR(INDEX(Détail!$E$5:$E$30,MATCH("Pilier métal",Détail!$B$5:$B$30,0)),0)</f>
        <v/>
      </c>
      <c r="D13" s="7">
        <f>IFERROR(INDEX(Détail!$F$5:$F$30,MATCH("Pilier métal",Détail!$B$5:$B$30,0)),0)</f>
        <v/>
      </c>
      <c r="E13" s="7">
        <f>IFERROR(INDEX(Détail!$G$5:$G$30,MATCH("Pilier métal",Détail!$B$5:$B$30,0)),0)</f>
        <v/>
      </c>
      <c r="F13" s="7">
        <f>IFERROR(INDEX(Détail!$H$5:$H$30,MATCH("Pilier métal",Détail!$B$5:$B$30,0)),0)</f>
        <v/>
      </c>
      <c r="G13" s="7">
        <f>IFERROR(INDEX(Détail!$I$5:$I$30,MATCH("Pilier métal",Détail!$B$5:$B$30,0)),0)</f>
        <v/>
      </c>
      <c r="H13" s="7">
        <f>IFERROR(INDEX(Détail!$J$5:$J$30,MATCH("Pilier métal",Détail!$B$5:$B$30,0)),0)</f>
        <v/>
      </c>
      <c r="I13" s="7">
        <f>IFERROR(INDEX(Détail!$K$5:$K$30,MATCH("Pilier métal",Détail!$B$5:$B$30,0)),0)</f>
        <v/>
      </c>
      <c r="J13" s="7">
        <f>IFERROR(INDEX(Détail!$L$5:$L$30,MATCH("Pilier métal",Détail!$B$5:$B$30,0)),0)</f>
        <v/>
      </c>
      <c r="K13" s="7">
        <f>IFERROR(INDEX(Détail!$M$5:$M$30,MATCH("Pilier métal",Détail!$B$5:$B$30,0)),0)</f>
        <v/>
      </c>
      <c r="L13" s="7">
        <f>IFERROR(INDEX(Détail!$N$5:$N$30,MATCH("Pilier métal",Détail!$B$5:$B$30,0)),0)</f>
        <v/>
      </c>
      <c r="M13" s="7">
        <f>IFERROR(INDEX(Détail!$O$5:$O$30,MATCH("Pilier métal",Détail!$B$5:$B$30,0)),0)</f>
        <v/>
      </c>
      <c r="N13" s="7">
        <f>IFERROR(INDEX(Détail!$P$5:$P$30,MATCH("Pilier métal",Détail!$B$5:$B$30,0)),0)</f>
        <v/>
      </c>
      <c r="O13" s="7">
        <f>IFERROR(INDEX(Détail!$Q$5:$Q$30,MATCH("Pilier métal",Détail!$B$5:$B$30,0)),0)</f>
        <v/>
      </c>
      <c r="P13" s="7">
        <f>IFERROR(INDEX(Détail!$R$5:$R$30,MATCH("Pilier métal",Détail!$B$5:$B$30,0)),0)</f>
        <v/>
      </c>
      <c r="Q13" s="14">
        <f>$B13*C13</f>
        <v/>
      </c>
      <c r="R13" s="14">
        <f>$B13*D13</f>
        <v/>
      </c>
      <c r="S13" s="14">
        <f>$B13*E13</f>
        <v/>
      </c>
      <c r="T13" s="14">
        <f>$B13*F13</f>
        <v/>
      </c>
      <c r="U13" s="14">
        <f>$B13*G13</f>
        <v/>
      </c>
      <c r="V13" s="14">
        <f>$B13*H13</f>
        <v/>
      </c>
      <c r="W13" s="14">
        <f>$B13*I13</f>
        <v/>
      </c>
      <c r="X13" s="14">
        <f>$B13*J13</f>
        <v/>
      </c>
      <c r="Y13" s="14">
        <f>$B13*K13</f>
        <v/>
      </c>
      <c r="Z13" s="14">
        <f>$B13*L13</f>
        <v/>
      </c>
      <c r="AA13" s="14">
        <f>$B13*M13</f>
        <v/>
      </c>
      <c r="AB13" s="14">
        <f>$B13*N13</f>
        <v/>
      </c>
      <c r="AC13" s="14">
        <f>$B13*O13</f>
        <v/>
      </c>
      <c r="AD13" s="14">
        <f>$B13*P13</f>
        <v/>
      </c>
    </row>
    <row r="14">
      <c r="A14" s="8" t="inlineStr">
        <is>
          <t>Total</t>
        </is>
      </c>
      <c r="B14" s="9">
        <f>SUM(B13:B13)</f>
        <v/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9">
        <f>SUM(Q13:Q13)</f>
        <v/>
      </c>
      <c r="R14" s="9">
        <f>SUM(R13:R13)</f>
        <v/>
      </c>
      <c r="S14" s="9">
        <f>SUM(S13:S13)</f>
        <v/>
      </c>
      <c r="T14" s="9">
        <f>SUM(T13:T13)</f>
        <v/>
      </c>
      <c r="U14" s="9">
        <f>SUM(U13:U13)</f>
        <v/>
      </c>
      <c r="V14" s="9">
        <f>SUM(V13:V13)</f>
        <v/>
      </c>
      <c r="W14" s="9">
        <f>SUM(W13:W13)</f>
        <v/>
      </c>
      <c r="X14" s="9">
        <f>SUM(X13:X13)</f>
        <v/>
      </c>
      <c r="Y14" s="9">
        <f>SUM(Y13:Y13)</f>
        <v/>
      </c>
      <c r="Z14" s="9">
        <f>SUM(Z13:Z13)</f>
        <v/>
      </c>
      <c r="AA14" s="9">
        <f>SUM(AA13:AA13)</f>
        <v/>
      </c>
      <c r="AB14" s="9">
        <f>SUM(AB13:AB13)</f>
        <v/>
      </c>
      <c r="AC14" s="9">
        <f>SUM(AC13:AC13)</f>
        <v/>
      </c>
      <c r="AD14" s="9">
        <f>SUM(AD13:AD13)</f>
        <v/>
      </c>
    </row>
    <row r="15">
      <c r="A15" s="8" t="inlineStr">
        <is>
          <t>À fabriquer (hors tourelles)</t>
        </is>
      </c>
      <c r="B15" s="9">
        <f>SUM(B13:B13)-SUMIF(A13:A13,"* (inventaire)",B13:B13)</f>
        <v/>
      </c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9">
        <f>SUM(Q13:Q13)-SUMIF(A13:A13,"* (inventaire)",Q13:Q13)</f>
        <v/>
      </c>
      <c r="R15" s="9">
        <f>SUM(R13:R13)-SUMIF(A13:A13,"* (inventaire)",R13:R13)</f>
        <v/>
      </c>
      <c r="S15" s="9">
        <f>SUM(S13:S13)-SUMIF(A13:A13,"* (inventaire)",S13:S13)</f>
        <v/>
      </c>
      <c r="T15" s="9">
        <f>SUM(T13:T13)-SUMIF(A13:A13,"* (inventaire)",T13:T13)</f>
        <v/>
      </c>
      <c r="U15" s="9">
        <f>SUM(U13:U13)-SUMIF(A13:A13,"* (inventaire)",U13:U13)</f>
        <v/>
      </c>
      <c r="V15" s="9">
        <f>SUM(V13:V13)-SUMIF(A13:A13,"* (inventaire)",V13:V13)</f>
        <v/>
      </c>
      <c r="W15" s="9">
        <f>SUM(W13:W13)-SUMIF(A13:A13,"* (inventaire)",W13:W13)</f>
        <v/>
      </c>
      <c r="X15" s="9">
        <f>SUM(X13:X13)-SUMIF(A13:A13,"* (inventaire)",X13:X13)</f>
        <v/>
      </c>
      <c r="Y15" s="9">
        <f>SUM(Y13:Y13)-SUMIF(A13:A13,"* (inventaire)",Y13:Y13)</f>
        <v/>
      </c>
      <c r="Z15" s="9">
        <f>SUM(Z13:Z13)-SUMIF(A13:A13,"* (inventaire)",Z13:Z13)</f>
        <v/>
      </c>
      <c r="AA15" s="9">
        <f>SUM(AA13:AA13)-SUMIF(A13:A13,"* (inventaire)",AA13:AA13)</f>
        <v/>
      </c>
      <c r="AB15" s="9">
        <f>SUM(AB13:AB13)-SUMIF(A13:A13,"* (inventaire)",AB13:AB13)</f>
        <v/>
      </c>
      <c r="AC15" s="9">
        <f>SUM(AC13:AC13)-SUMIF(A13:A13,"* (inventaire)",AC13:AC13)</f>
        <v/>
      </c>
      <c r="AD15" s="9">
        <f>SUM(AD13:AD13)-SUMIF(A13:A13,"* (inventaire)",AD13:AD13)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</row>
    <row r="17">
      <c r="A17" s="15" t="inlineStr">
        <is>
          <t>Plan 03 bord D8-D7</t>
        </is>
      </c>
      <c r="B17" s="2" t="n"/>
      <c r="C17" s="3" t="inlineStr">
        <is>
          <t>947 entrées dans le template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</row>
    <row r="18" ht="30" customHeight="1">
      <c r="A18" s="11" t="inlineStr">
        <is>
          <t>Pièce</t>
        </is>
      </c>
      <c r="B18" s="11" t="inlineStr">
        <is>
          <t>Nombre</t>
        </is>
      </c>
      <c r="C18" s="11" t="inlineStr">
        <is>
          <t>Lingots de métal / u</t>
        </is>
      </c>
      <c r="D18" s="11" t="inlineStr">
        <is>
          <t>Pâte cimentée / u</t>
        </is>
      </c>
      <c r="E18" s="11" t="inlineStr">
        <is>
          <t>Électroniques / u</t>
        </is>
      </c>
      <c r="F18" s="11" t="inlineStr">
        <is>
          <t>Polymère / u</t>
        </is>
      </c>
      <c r="G18" s="11" t="inlineStr">
        <is>
          <t>Cristal / u</t>
        </is>
      </c>
      <c r="H18" s="11" t="inlineStr">
        <is>
          <t>Élément / u</t>
        </is>
      </c>
      <c r="I18" s="11" t="inlineStr">
        <is>
          <t>Perles noires / u</t>
        </is>
      </c>
      <c r="J18" s="11" t="inlineStr">
        <is>
          <t>Huile / u</t>
        </is>
      </c>
      <c r="K18" s="11" t="inlineStr">
        <is>
          <t>Poudre étincelante / u</t>
        </is>
      </c>
      <c r="L18" s="11" t="inlineStr">
        <is>
          <t>Cuir / u</t>
        </is>
      </c>
      <c r="M18" s="11" t="inlineStr">
        <is>
          <t>Fibre / u</t>
        </is>
      </c>
      <c r="N18" s="11" t="inlineStr">
        <is>
          <t>Chaume / u</t>
        </is>
      </c>
      <c r="O18" s="11" t="inlineStr">
        <is>
          <t>Bois / u</t>
        </is>
      </c>
      <c r="P18" s="11" t="inlineStr">
        <is>
          <t>Pierre / u</t>
        </is>
      </c>
      <c r="Q18" s="11" t="inlineStr">
        <is>
          <t>Lingots de métal total</t>
        </is>
      </c>
      <c r="R18" s="11" t="inlineStr">
        <is>
          <t>Pâte cimentée total</t>
        </is>
      </c>
      <c r="S18" s="11" t="inlineStr">
        <is>
          <t>Électroniques total</t>
        </is>
      </c>
      <c r="T18" s="11" t="inlineStr">
        <is>
          <t>Polymère total</t>
        </is>
      </c>
      <c r="U18" s="11" t="inlineStr">
        <is>
          <t>Cristal total</t>
        </is>
      </c>
      <c r="V18" s="11" t="inlineStr">
        <is>
          <t>Élément total</t>
        </is>
      </c>
      <c r="W18" s="11" t="inlineStr">
        <is>
          <t>Perles noires total</t>
        </is>
      </c>
      <c r="X18" s="11" t="inlineStr">
        <is>
          <t>Huile total</t>
        </is>
      </c>
      <c r="Y18" s="11" t="inlineStr">
        <is>
          <t>Poudre étincelante total</t>
        </is>
      </c>
      <c r="Z18" s="11" t="inlineStr">
        <is>
          <t>Cuir total</t>
        </is>
      </c>
      <c r="AA18" s="11" t="inlineStr">
        <is>
          <t>Fibre total</t>
        </is>
      </c>
      <c r="AB18" s="11" t="inlineStr">
        <is>
          <t>Chaume total</t>
        </is>
      </c>
      <c r="AC18" s="11" t="inlineStr">
        <is>
          <t>Bois total</t>
        </is>
      </c>
      <c r="AD18" s="11" t="inlineStr">
        <is>
          <t>Pierre total</t>
        </is>
      </c>
    </row>
    <row r="19">
      <c r="A19" s="6" t="inlineStr">
        <is>
          <t>Rampe inclinée métal (Sloped Railing)</t>
        </is>
      </c>
      <c r="B19" s="16" t="n">
        <v>356</v>
      </c>
      <c r="C19" s="7">
        <f>IFERROR(INDEX(Détail!$E$5:$E$30,MATCH("Rampe inclinée métal (Sloped Railing)",Détail!$B$5:$B$30,0)),0)</f>
        <v/>
      </c>
      <c r="D19" s="7">
        <f>IFERROR(INDEX(Détail!$F$5:$F$30,MATCH("Rampe inclinée métal (Sloped Railing)",Détail!$B$5:$B$30,0)),0)</f>
        <v/>
      </c>
      <c r="E19" s="7">
        <f>IFERROR(INDEX(Détail!$G$5:$G$30,MATCH("Rampe inclinée métal (Sloped Railing)",Détail!$B$5:$B$30,0)),0)</f>
        <v/>
      </c>
      <c r="F19" s="7">
        <f>IFERROR(INDEX(Détail!$H$5:$H$30,MATCH("Rampe inclinée métal (Sloped Railing)",Détail!$B$5:$B$30,0)),0)</f>
        <v/>
      </c>
      <c r="G19" s="7">
        <f>IFERROR(INDEX(Détail!$I$5:$I$30,MATCH("Rampe inclinée métal (Sloped Railing)",Détail!$B$5:$B$30,0)),0)</f>
        <v/>
      </c>
      <c r="H19" s="7">
        <f>IFERROR(INDEX(Détail!$J$5:$J$30,MATCH("Rampe inclinée métal (Sloped Railing)",Détail!$B$5:$B$30,0)),0)</f>
        <v/>
      </c>
      <c r="I19" s="7">
        <f>IFERROR(INDEX(Détail!$K$5:$K$30,MATCH("Rampe inclinée métal (Sloped Railing)",Détail!$B$5:$B$30,0)),0)</f>
        <v/>
      </c>
      <c r="J19" s="7">
        <f>IFERROR(INDEX(Détail!$L$5:$L$30,MATCH("Rampe inclinée métal (Sloped Railing)",Détail!$B$5:$B$30,0)),0)</f>
        <v/>
      </c>
      <c r="K19" s="7">
        <f>IFERROR(INDEX(Détail!$M$5:$M$30,MATCH("Rampe inclinée métal (Sloped Railing)",Détail!$B$5:$B$30,0)),0)</f>
        <v/>
      </c>
      <c r="L19" s="7">
        <f>IFERROR(INDEX(Détail!$N$5:$N$30,MATCH("Rampe inclinée métal (Sloped Railing)",Détail!$B$5:$B$30,0)),0)</f>
        <v/>
      </c>
      <c r="M19" s="7">
        <f>IFERROR(INDEX(Détail!$O$5:$O$30,MATCH("Rampe inclinée métal (Sloped Railing)",Détail!$B$5:$B$30,0)),0)</f>
        <v/>
      </c>
      <c r="N19" s="7">
        <f>IFERROR(INDEX(Détail!$P$5:$P$30,MATCH("Rampe inclinée métal (Sloped Railing)",Détail!$B$5:$B$30,0)),0)</f>
        <v/>
      </c>
      <c r="O19" s="7">
        <f>IFERROR(INDEX(Détail!$Q$5:$Q$30,MATCH("Rampe inclinée métal (Sloped Railing)",Détail!$B$5:$B$30,0)),0)</f>
        <v/>
      </c>
      <c r="P19" s="7">
        <f>IFERROR(INDEX(Détail!$R$5:$R$30,MATCH("Rampe inclinée métal (Sloped Railing)",Détail!$B$5:$B$30,0)),0)</f>
        <v/>
      </c>
      <c r="Q19" s="14">
        <f>$B19*C19</f>
        <v/>
      </c>
      <c r="R19" s="14">
        <f>$B19*D19</f>
        <v/>
      </c>
      <c r="S19" s="14">
        <f>$B19*E19</f>
        <v/>
      </c>
      <c r="T19" s="14">
        <f>$B19*F19</f>
        <v/>
      </c>
      <c r="U19" s="14">
        <f>$B19*G19</f>
        <v/>
      </c>
      <c r="V19" s="14">
        <f>$B19*H19</f>
        <v/>
      </c>
      <c r="W19" s="14">
        <f>$B19*I19</f>
        <v/>
      </c>
      <c r="X19" s="14">
        <f>$B19*J19</f>
        <v/>
      </c>
      <c r="Y19" s="14">
        <f>$B19*K19</f>
        <v/>
      </c>
      <c r="Z19" s="14">
        <f>$B19*L19</f>
        <v/>
      </c>
      <c r="AA19" s="14">
        <f>$B19*M19</f>
        <v/>
      </c>
      <c r="AB19" s="14">
        <f>$B19*N19</f>
        <v/>
      </c>
      <c r="AC19" s="14">
        <f>$B19*O19</f>
        <v/>
      </c>
      <c r="AD19" s="14">
        <f>$B19*P19</f>
        <v/>
      </c>
    </row>
    <row r="20">
      <c r="A20" s="6" t="inlineStr">
        <is>
          <t>Cadre de porte double métal</t>
        </is>
      </c>
      <c r="B20" s="16" t="n">
        <v>298</v>
      </c>
      <c r="C20" s="7">
        <f>IFERROR(INDEX(Détail!$E$5:$E$30,MATCH("Cadre de porte double métal",Détail!$B$5:$B$30,0)),0)</f>
        <v/>
      </c>
      <c r="D20" s="7">
        <f>IFERROR(INDEX(Détail!$F$5:$F$30,MATCH("Cadre de porte double métal",Détail!$B$5:$B$30,0)),0)</f>
        <v/>
      </c>
      <c r="E20" s="7">
        <f>IFERROR(INDEX(Détail!$G$5:$G$30,MATCH("Cadre de porte double métal",Détail!$B$5:$B$30,0)),0)</f>
        <v/>
      </c>
      <c r="F20" s="7">
        <f>IFERROR(INDEX(Détail!$H$5:$H$30,MATCH("Cadre de porte double métal",Détail!$B$5:$B$30,0)),0)</f>
        <v/>
      </c>
      <c r="G20" s="7">
        <f>IFERROR(INDEX(Détail!$I$5:$I$30,MATCH("Cadre de porte double métal",Détail!$B$5:$B$30,0)),0)</f>
        <v/>
      </c>
      <c r="H20" s="7">
        <f>IFERROR(INDEX(Détail!$J$5:$J$30,MATCH("Cadre de porte double métal",Détail!$B$5:$B$30,0)),0)</f>
        <v/>
      </c>
      <c r="I20" s="7">
        <f>IFERROR(INDEX(Détail!$K$5:$K$30,MATCH("Cadre de porte double métal",Détail!$B$5:$B$30,0)),0)</f>
        <v/>
      </c>
      <c r="J20" s="7">
        <f>IFERROR(INDEX(Détail!$L$5:$L$30,MATCH("Cadre de porte double métal",Détail!$B$5:$B$30,0)),0)</f>
        <v/>
      </c>
      <c r="K20" s="7">
        <f>IFERROR(INDEX(Détail!$M$5:$M$30,MATCH("Cadre de porte double métal",Détail!$B$5:$B$30,0)),0)</f>
        <v/>
      </c>
      <c r="L20" s="7">
        <f>IFERROR(INDEX(Détail!$N$5:$N$30,MATCH("Cadre de porte double métal",Détail!$B$5:$B$30,0)),0)</f>
        <v/>
      </c>
      <c r="M20" s="7">
        <f>IFERROR(INDEX(Détail!$O$5:$O$30,MATCH("Cadre de porte double métal",Détail!$B$5:$B$30,0)),0)</f>
        <v/>
      </c>
      <c r="N20" s="7">
        <f>IFERROR(INDEX(Détail!$P$5:$P$30,MATCH("Cadre de porte double métal",Détail!$B$5:$B$30,0)),0)</f>
        <v/>
      </c>
      <c r="O20" s="7">
        <f>IFERROR(INDEX(Détail!$Q$5:$Q$30,MATCH("Cadre de porte double métal",Détail!$B$5:$B$30,0)),0)</f>
        <v/>
      </c>
      <c r="P20" s="7">
        <f>IFERROR(INDEX(Détail!$R$5:$R$30,MATCH("Cadre de porte double métal",Détail!$B$5:$B$30,0)),0)</f>
        <v/>
      </c>
      <c r="Q20" s="14">
        <f>$B20*C20</f>
        <v/>
      </c>
      <c r="R20" s="14">
        <f>$B20*D20</f>
        <v/>
      </c>
      <c r="S20" s="14">
        <f>$B20*E20</f>
        <v/>
      </c>
      <c r="T20" s="14">
        <f>$B20*F20</f>
        <v/>
      </c>
      <c r="U20" s="14">
        <f>$B20*G20</f>
        <v/>
      </c>
      <c r="V20" s="14">
        <f>$B20*H20</f>
        <v/>
      </c>
      <c r="W20" s="14">
        <f>$B20*I20</f>
        <v/>
      </c>
      <c r="X20" s="14">
        <f>$B20*J20</f>
        <v/>
      </c>
      <c r="Y20" s="14">
        <f>$B20*K20</f>
        <v/>
      </c>
      <c r="Z20" s="14">
        <f>$B20*L20</f>
        <v/>
      </c>
      <c r="AA20" s="14">
        <f>$B20*M20</f>
        <v/>
      </c>
      <c r="AB20" s="14">
        <f>$B20*N20</f>
        <v/>
      </c>
      <c r="AC20" s="14">
        <f>$B20*O20</f>
        <v/>
      </c>
      <c r="AD20" s="14">
        <f>$B20*P20</f>
        <v/>
      </c>
    </row>
    <row r="21">
      <c r="A21" s="6" t="inlineStr">
        <is>
          <t>Pilier fin métal (Thin Pillar)</t>
        </is>
      </c>
      <c r="B21" s="16" t="n">
        <v>123</v>
      </c>
      <c r="C21" s="7">
        <f>IFERROR(INDEX(Détail!$E$5:$E$30,MATCH("Pilier fin métal (Thin Pillar)",Détail!$B$5:$B$30,0)),0)</f>
        <v/>
      </c>
      <c r="D21" s="7">
        <f>IFERROR(INDEX(Détail!$F$5:$F$30,MATCH("Pilier fin métal (Thin Pillar)",Détail!$B$5:$B$30,0)),0)</f>
        <v/>
      </c>
      <c r="E21" s="7">
        <f>IFERROR(INDEX(Détail!$G$5:$G$30,MATCH("Pilier fin métal (Thin Pillar)",Détail!$B$5:$B$30,0)),0)</f>
        <v/>
      </c>
      <c r="F21" s="7">
        <f>IFERROR(INDEX(Détail!$H$5:$H$30,MATCH("Pilier fin métal (Thin Pillar)",Détail!$B$5:$B$30,0)),0)</f>
        <v/>
      </c>
      <c r="G21" s="7">
        <f>IFERROR(INDEX(Détail!$I$5:$I$30,MATCH("Pilier fin métal (Thin Pillar)",Détail!$B$5:$B$30,0)),0)</f>
        <v/>
      </c>
      <c r="H21" s="7">
        <f>IFERROR(INDEX(Détail!$J$5:$J$30,MATCH("Pilier fin métal (Thin Pillar)",Détail!$B$5:$B$30,0)),0)</f>
        <v/>
      </c>
      <c r="I21" s="7">
        <f>IFERROR(INDEX(Détail!$K$5:$K$30,MATCH("Pilier fin métal (Thin Pillar)",Détail!$B$5:$B$30,0)),0)</f>
        <v/>
      </c>
      <c r="J21" s="7">
        <f>IFERROR(INDEX(Détail!$L$5:$L$30,MATCH("Pilier fin métal (Thin Pillar)",Détail!$B$5:$B$30,0)),0)</f>
        <v/>
      </c>
      <c r="K21" s="7">
        <f>IFERROR(INDEX(Détail!$M$5:$M$30,MATCH("Pilier fin métal (Thin Pillar)",Détail!$B$5:$B$30,0)),0)</f>
        <v/>
      </c>
      <c r="L21" s="7">
        <f>IFERROR(INDEX(Détail!$N$5:$N$30,MATCH("Pilier fin métal (Thin Pillar)",Détail!$B$5:$B$30,0)),0)</f>
        <v/>
      </c>
      <c r="M21" s="7">
        <f>IFERROR(INDEX(Détail!$O$5:$O$30,MATCH("Pilier fin métal (Thin Pillar)",Détail!$B$5:$B$30,0)),0)</f>
        <v/>
      </c>
      <c r="N21" s="7">
        <f>IFERROR(INDEX(Détail!$P$5:$P$30,MATCH("Pilier fin métal (Thin Pillar)",Détail!$B$5:$B$30,0)),0)</f>
        <v/>
      </c>
      <c r="O21" s="7">
        <f>IFERROR(INDEX(Détail!$Q$5:$Q$30,MATCH("Pilier fin métal (Thin Pillar)",Détail!$B$5:$B$30,0)),0)</f>
        <v/>
      </c>
      <c r="P21" s="7">
        <f>IFERROR(INDEX(Détail!$R$5:$R$30,MATCH("Pilier fin métal (Thin Pillar)",Détail!$B$5:$B$30,0)),0)</f>
        <v/>
      </c>
      <c r="Q21" s="14">
        <f>$B21*C21</f>
        <v/>
      </c>
      <c r="R21" s="14">
        <f>$B21*D21</f>
        <v/>
      </c>
      <c r="S21" s="14">
        <f>$B21*E21</f>
        <v/>
      </c>
      <c r="T21" s="14">
        <f>$B21*F21</f>
        <v/>
      </c>
      <c r="U21" s="14">
        <f>$B21*G21</f>
        <v/>
      </c>
      <c r="V21" s="14">
        <f>$B21*H21</f>
        <v/>
      </c>
      <c r="W21" s="14">
        <f>$B21*I21</f>
        <v/>
      </c>
      <c r="X21" s="14">
        <f>$B21*J21</f>
        <v/>
      </c>
      <c r="Y21" s="14">
        <f>$B21*K21</f>
        <v/>
      </c>
      <c r="Z21" s="14">
        <f>$B21*L21</f>
        <v/>
      </c>
      <c r="AA21" s="14">
        <f>$B21*M21</f>
        <v/>
      </c>
      <c r="AB21" s="14">
        <f>$B21*N21</f>
        <v/>
      </c>
      <c r="AC21" s="14">
        <f>$B21*O21</f>
        <v/>
      </c>
      <c r="AD21" s="14">
        <f>$B21*P21</f>
        <v/>
      </c>
    </row>
    <row r="22">
      <c r="A22" s="6" t="inlineStr">
        <is>
          <t>Pilier fin couché métal (Flat Thin Pillar)</t>
        </is>
      </c>
      <c r="B22" s="16" t="n">
        <v>94</v>
      </c>
      <c r="C22" s="7">
        <f>IFERROR(INDEX(Détail!$E$5:$E$30,MATCH("Pilier fin couché métal (Flat Thin Pillar)",Détail!$B$5:$B$30,0)),0)</f>
        <v/>
      </c>
      <c r="D22" s="7">
        <f>IFERROR(INDEX(Détail!$F$5:$F$30,MATCH("Pilier fin couché métal (Flat Thin Pillar)",Détail!$B$5:$B$30,0)),0)</f>
        <v/>
      </c>
      <c r="E22" s="7">
        <f>IFERROR(INDEX(Détail!$G$5:$G$30,MATCH("Pilier fin couché métal (Flat Thin Pillar)",Détail!$B$5:$B$30,0)),0)</f>
        <v/>
      </c>
      <c r="F22" s="7">
        <f>IFERROR(INDEX(Détail!$H$5:$H$30,MATCH("Pilier fin couché métal (Flat Thin Pillar)",Détail!$B$5:$B$30,0)),0)</f>
        <v/>
      </c>
      <c r="G22" s="7">
        <f>IFERROR(INDEX(Détail!$I$5:$I$30,MATCH("Pilier fin couché métal (Flat Thin Pillar)",Détail!$B$5:$B$30,0)),0)</f>
        <v/>
      </c>
      <c r="H22" s="7">
        <f>IFERROR(INDEX(Détail!$J$5:$J$30,MATCH("Pilier fin couché métal (Flat Thin Pillar)",Détail!$B$5:$B$30,0)),0)</f>
        <v/>
      </c>
      <c r="I22" s="7">
        <f>IFERROR(INDEX(Détail!$K$5:$K$30,MATCH("Pilier fin couché métal (Flat Thin Pillar)",Détail!$B$5:$B$30,0)),0)</f>
        <v/>
      </c>
      <c r="J22" s="7">
        <f>IFERROR(INDEX(Détail!$L$5:$L$30,MATCH("Pilier fin couché métal (Flat Thin Pillar)",Détail!$B$5:$B$30,0)),0)</f>
        <v/>
      </c>
      <c r="K22" s="7">
        <f>IFERROR(INDEX(Détail!$M$5:$M$30,MATCH("Pilier fin couché métal (Flat Thin Pillar)",Détail!$B$5:$B$30,0)),0)</f>
        <v/>
      </c>
      <c r="L22" s="7">
        <f>IFERROR(INDEX(Détail!$N$5:$N$30,MATCH("Pilier fin couché métal (Flat Thin Pillar)",Détail!$B$5:$B$30,0)),0)</f>
        <v/>
      </c>
      <c r="M22" s="7">
        <f>IFERROR(INDEX(Détail!$O$5:$O$30,MATCH("Pilier fin couché métal (Flat Thin Pillar)",Détail!$B$5:$B$30,0)),0)</f>
        <v/>
      </c>
      <c r="N22" s="7">
        <f>IFERROR(INDEX(Détail!$P$5:$P$30,MATCH("Pilier fin couché métal (Flat Thin Pillar)",Détail!$B$5:$B$30,0)),0)</f>
        <v/>
      </c>
      <c r="O22" s="7">
        <f>IFERROR(INDEX(Détail!$Q$5:$Q$30,MATCH("Pilier fin couché métal (Flat Thin Pillar)",Détail!$B$5:$B$30,0)),0)</f>
        <v/>
      </c>
      <c r="P22" s="7">
        <f>IFERROR(INDEX(Détail!$R$5:$R$30,MATCH("Pilier fin couché métal (Flat Thin Pillar)",Détail!$B$5:$B$30,0)),0)</f>
        <v/>
      </c>
      <c r="Q22" s="14">
        <f>$B22*C22</f>
        <v/>
      </c>
      <c r="R22" s="14">
        <f>$B22*D22</f>
        <v/>
      </c>
      <c r="S22" s="14">
        <f>$B22*E22</f>
        <v/>
      </c>
      <c r="T22" s="14">
        <f>$B22*F22</f>
        <v/>
      </c>
      <c r="U22" s="14">
        <f>$B22*G22</f>
        <v/>
      </c>
      <c r="V22" s="14">
        <f>$B22*H22</f>
        <v/>
      </c>
      <c r="W22" s="14">
        <f>$B22*I22</f>
        <v/>
      </c>
      <c r="X22" s="14">
        <f>$B22*J22</f>
        <v/>
      </c>
      <c r="Y22" s="14">
        <f>$B22*K22</f>
        <v/>
      </c>
      <c r="Z22" s="14">
        <f>$B22*L22</f>
        <v/>
      </c>
      <c r="AA22" s="14">
        <f>$B22*M22</f>
        <v/>
      </c>
      <c r="AB22" s="14">
        <f>$B22*N22</f>
        <v/>
      </c>
      <c r="AC22" s="14">
        <f>$B22*O22</f>
        <v/>
      </c>
      <c r="AD22" s="14">
        <f>$B22*P22</f>
        <v/>
      </c>
    </row>
    <row r="23">
      <c r="A23" s="6" t="inlineStr">
        <is>
          <t>Demi-pilier fin métal (Half Thin Pillar)</t>
        </is>
      </c>
      <c r="B23" s="16" t="n">
        <v>43</v>
      </c>
      <c r="C23" s="7">
        <f>IFERROR(INDEX(Détail!$E$5:$E$30,MATCH("Demi-pilier fin métal (Half Thin Pillar)",Détail!$B$5:$B$30,0)),0)</f>
        <v/>
      </c>
      <c r="D23" s="7">
        <f>IFERROR(INDEX(Détail!$F$5:$F$30,MATCH("Demi-pilier fin métal (Half Thin Pillar)",Détail!$B$5:$B$30,0)),0)</f>
        <v/>
      </c>
      <c r="E23" s="7">
        <f>IFERROR(INDEX(Détail!$G$5:$G$30,MATCH("Demi-pilier fin métal (Half Thin Pillar)",Détail!$B$5:$B$30,0)),0)</f>
        <v/>
      </c>
      <c r="F23" s="7">
        <f>IFERROR(INDEX(Détail!$H$5:$H$30,MATCH("Demi-pilier fin métal (Half Thin Pillar)",Détail!$B$5:$B$30,0)),0)</f>
        <v/>
      </c>
      <c r="G23" s="7">
        <f>IFERROR(INDEX(Détail!$I$5:$I$30,MATCH("Demi-pilier fin métal (Half Thin Pillar)",Détail!$B$5:$B$30,0)),0)</f>
        <v/>
      </c>
      <c r="H23" s="7">
        <f>IFERROR(INDEX(Détail!$J$5:$J$30,MATCH("Demi-pilier fin métal (Half Thin Pillar)",Détail!$B$5:$B$30,0)),0)</f>
        <v/>
      </c>
      <c r="I23" s="7">
        <f>IFERROR(INDEX(Détail!$K$5:$K$30,MATCH("Demi-pilier fin métal (Half Thin Pillar)",Détail!$B$5:$B$30,0)),0)</f>
        <v/>
      </c>
      <c r="J23" s="7">
        <f>IFERROR(INDEX(Détail!$L$5:$L$30,MATCH("Demi-pilier fin métal (Half Thin Pillar)",Détail!$B$5:$B$30,0)),0)</f>
        <v/>
      </c>
      <c r="K23" s="7">
        <f>IFERROR(INDEX(Détail!$M$5:$M$30,MATCH("Demi-pilier fin métal (Half Thin Pillar)",Détail!$B$5:$B$30,0)),0)</f>
        <v/>
      </c>
      <c r="L23" s="7">
        <f>IFERROR(INDEX(Détail!$N$5:$N$30,MATCH("Demi-pilier fin métal (Half Thin Pillar)",Détail!$B$5:$B$30,0)),0)</f>
        <v/>
      </c>
      <c r="M23" s="7">
        <f>IFERROR(INDEX(Détail!$O$5:$O$30,MATCH("Demi-pilier fin métal (Half Thin Pillar)",Détail!$B$5:$B$30,0)),0)</f>
        <v/>
      </c>
      <c r="N23" s="7">
        <f>IFERROR(INDEX(Détail!$P$5:$P$30,MATCH("Demi-pilier fin métal (Half Thin Pillar)",Détail!$B$5:$B$30,0)),0)</f>
        <v/>
      </c>
      <c r="O23" s="7">
        <f>IFERROR(INDEX(Détail!$Q$5:$Q$30,MATCH("Demi-pilier fin métal (Half Thin Pillar)",Détail!$B$5:$B$30,0)),0)</f>
        <v/>
      </c>
      <c r="P23" s="7">
        <f>IFERROR(INDEX(Détail!$R$5:$R$30,MATCH("Demi-pilier fin métal (Half Thin Pillar)",Détail!$B$5:$B$30,0)),0)</f>
        <v/>
      </c>
      <c r="Q23" s="14">
        <f>$B23*C23</f>
        <v/>
      </c>
      <c r="R23" s="14">
        <f>$B23*D23</f>
        <v/>
      </c>
      <c r="S23" s="14">
        <f>$B23*E23</f>
        <v/>
      </c>
      <c r="T23" s="14">
        <f>$B23*F23</f>
        <v/>
      </c>
      <c r="U23" s="14">
        <f>$B23*G23</f>
        <v/>
      </c>
      <c r="V23" s="14">
        <f>$B23*H23</f>
        <v/>
      </c>
      <c r="W23" s="14">
        <f>$B23*I23</f>
        <v/>
      </c>
      <c r="X23" s="14">
        <f>$B23*J23</f>
        <v/>
      </c>
      <c r="Y23" s="14">
        <f>$B23*K23</f>
        <v/>
      </c>
      <c r="Z23" s="14">
        <f>$B23*L23</f>
        <v/>
      </c>
      <c r="AA23" s="14">
        <f>$B23*M23</f>
        <v/>
      </c>
      <c r="AB23" s="14">
        <f>$B23*N23</f>
        <v/>
      </c>
      <c r="AC23" s="14">
        <f>$B23*O23</f>
        <v/>
      </c>
      <c r="AD23" s="14">
        <f>$B23*P23</f>
        <v/>
      </c>
    </row>
    <row r="24">
      <c r="A24" s="6" t="inlineStr">
        <is>
          <t>Mur de chaume (gabarit de pose, à démolir)</t>
        </is>
      </c>
      <c r="B24" s="16" t="n">
        <v>32</v>
      </c>
      <c r="C24" s="7">
        <f>IFERROR(INDEX(Détail!$E$5:$E$30,MATCH("Mur de chaume (gabarit de pose, à démolir)",Détail!$B$5:$B$30,0)),0)</f>
        <v/>
      </c>
      <c r="D24" s="7">
        <f>IFERROR(INDEX(Détail!$F$5:$F$30,MATCH("Mur de chaume (gabarit de pose, à démolir)",Détail!$B$5:$B$30,0)),0)</f>
        <v/>
      </c>
      <c r="E24" s="7">
        <f>IFERROR(INDEX(Détail!$G$5:$G$30,MATCH("Mur de chaume (gabarit de pose, à démolir)",Détail!$B$5:$B$30,0)),0)</f>
        <v/>
      </c>
      <c r="F24" s="7">
        <f>IFERROR(INDEX(Détail!$H$5:$H$30,MATCH("Mur de chaume (gabarit de pose, à démolir)",Détail!$B$5:$B$30,0)),0)</f>
        <v/>
      </c>
      <c r="G24" s="7">
        <f>IFERROR(INDEX(Détail!$I$5:$I$30,MATCH("Mur de chaume (gabarit de pose, à démolir)",Détail!$B$5:$B$30,0)),0)</f>
        <v/>
      </c>
      <c r="H24" s="7">
        <f>IFERROR(INDEX(Détail!$J$5:$J$30,MATCH("Mur de chaume (gabarit de pose, à démolir)",Détail!$B$5:$B$30,0)),0)</f>
        <v/>
      </c>
      <c r="I24" s="7">
        <f>IFERROR(INDEX(Détail!$K$5:$K$30,MATCH("Mur de chaume (gabarit de pose, à démolir)",Détail!$B$5:$B$30,0)),0)</f>
        <v/>
      </c>
      <c r="J24" s="7">
        <f>IFERROR(INDEX(Détail!$L$5:$L$30,MATCH("Mur de chaume (gabarit de pose, à démolir)",Détail!$B$5:$B$30,0)),0)</f>
        <v/>
      </c>
      <c r="K24" s="7">
        <f>IFERROR(INDEX(Détail!$M$5:$M$30,MATCH("Mur de chaume (gabarit de pose, à démolir)",Détail!$B$5:$B$30,0)),0)</f>
        <v/>
      </c>
      <c r="L24" s="7">
        <f>IFERROR(INDEX(Détail!$N$5:$N$30,MATCH("Mur de chaume (gabarit de pose, à démolir)",Détail!$B$5:$B$30,0)),0)</f>
        <v/>
      </c>
      <c r="M24" s="7">
        <f>IFERROR(INDEX(Détail!$O$5:$O$30,MATCH("Mur de chaume (gabarit de pose, à démolir)",Détail!$B$5:$B$30,0)),0)</f>
        <v/>
      </c>
      <c r="N24" s="7">
        <f>IFERROR(INDEX(Détail!$P$5:$P$30,MATCH("Mur de chaume (gabarit de pose, à démolir)",Détail!$B$5:$B$30,0)),0)</f>
        <v/>
      </c>
      <c r="O24" s="7">
        <f>IFERROR(INDEX(Détail!$Q$5:$Q$30,MATCH("Mur de chaume (gabarit de pose, à démolir)",Détail!$B$5:$B$30,0)),0)</f>
        <v/>
      </c>
      <c r="P24" s="7">
        <f>IFERROR(INDEX(Détail!$R$5:$R$30,MATCH("Mur de chaume (gabarit de pose, à démolir)",Détail!$B$5:$B$30,0)),0)</f>
        <v/>
      </c>
      <c r="Q24" s="14">
        <f>$B24*C24</f>
        <v/>
      </c>
      <c r="R24" s="14">
        <f>$B24*D24</f>
        <v/>
      </c>
      <c r="S24" s="14">
        <f>$B24*E24</f>
        <v/>
      </c>
      <c r="T24" s="14">
        <f>$B24*F24</f>
        <v/>
      </c>
      <c r="U24" s="14">
        <f>$B24*G24</f>
        <v/>
      </c>
      <c r="V24" s="14">
        <f>$B24*H24</f>
        <v/>
      </c>
      <c r="W24" s="14">
        <f>$B24*I24</f>
        <v/>
      </c>
      <c r="X24" s="14">
        <f>$B24*J24</f>
        <v/>
      </c>
      <c r="Y24" s="14">
        <f>$B24*K24</f>
        <v/>
      </c>
      <c r="Z24" s="14">
        <f>$B24*L24</f>
        <v/>
      </c>
      <c r="AA24" s="14">
        <f>$B24*M24</f>
        <v/>
      </c>
      <c r="AB24" s="14">
        <f>$B24*N24</f>
        <v/>
      </c>
      <c r="AC24" s="14">
        <f>$B24*O24</f>
        <v/>
      </c>
      <c r="AD24" s="14">
        <f>$B24*P24</f>
        <v/>
      </c>
    </row>
    <row r="25">
      <c r="A25" s="8" t="inlineStr">
        <is>
          <t>Total</t>
        </is>
      </c>
      <c r="B25" s="9">
        <f>SUM(B19:B24)</f>
        <v/>
      </c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9">
        <f>SUM(Q19:Q24)</f>
        <v/>
      </c>
      <c r="R25" s="9">
        <f>SUM(R19:R24)</f>
        <v/>
      </c>
      <c r="S25" s="9">
        <f>SUM(S19:S24)</f>
        <v/>
      </c>
      <c r="T25" s="9">
        <f>SUM(T19:T24)</f>
        <v/>
      </c>
      <c r="U25" s="9">
        <f>SUM(U19:U24)</f>
        <v/>
      </c>
      <c r="V25" s="9">
        <f>SUM(V19:V24)</f>
        <v/>
      </c>
      <c r="W25" s="9">
        <f>SUM(W19:W24)</f>
        <v/>
      </c>
      <c r="X25" s="9">
        <f>SUM(X19:X24)</f>
        <v/>
      </c>
      <c r="Y25" s="9">
        <f>SUM(Y19:Y24)</f>
        <v/>
      </c>
      <c r="Z25" s="9">
        <f>SUM(Z19:Z24)</f>
        <v/>
      </c>
      <c r="AA25" s="9">
        <f>SUM(AA19:AA24)</f>
        <v/>
      </c>
      <c r="AB25" s="9">
        <f>SUM(AB19:AB24)</f>
        <v/>
      </c>
      <c r="AC25" s="9">
        <f>SUM(AC19:AC24)</f>
        <v/>
      </c>
      <c r="AD25" s="9">
        <f>SUM(AD19:AD24)</f>
        <v/>
      </c>
    </row>
    <row r="26">
      <c r="A26" s="8" t="inlineStr">
        <is>
          <t>À fabriquer (hors tourelles)</t>
        </is>
      </c>
      <c r="B26" s="9">
        <f>SUM(B19:B24)-SUMIF(A19:A24,"* (inventaire)",B19:B24)</f>
        <v/>
      </c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9">
        <f>SUM(Q19:Q24)-SUMIF(A19:A24,"* (inventaire)",Q19:Q24)</f>
        <v/>
      </c>
      <c r="R26" s="9">
        <f>SUM(R19:R24)-SUMIF(A19:A24,"* (inventaire)",R19:R24)</f>
        <v/>
      </c>
      <c r="S26" s="9">
        <f>SUM(S19:S24)-SUMIF(A19:A24,"* (inventaire)",S19:S24)</f>
        <v/>
      </c>
      <c r="T26" s="9">
        <f>SUM(T19:T24)-SUMIF(A19:A24,"* (inventaire)",T19:T24)</f>
        <v/>
      </c>
      <c r="U26" s="9">
        <f>SUM(U19:U24)-SUMIF(A19:A24,"* (inventaire)",U19:U24)</f>
        <v/>
      </c>
      <c r="V26" s="9">
        <f>SUM(V19:V24)-SUMIF(A19:A24,"* (inventaire)",V19:V24)</f>
        <v/>
      </c>
      <c r="W26" s="9">
        <f>SUM(W19:W24)-SUMIF(A19:A24,"* (inventaire)",W19:W24)</f>
        <v/>
      </c>
      <c r="X26" s="9">
        <f>SUM(X19:X24)-SUMIF(A19:A24,"* (inventaire)",X19:X24)</f>
        <v/>
      </c>
      <c r="Y26" s="9">
        <f>SUM(Y19:Y24)-SUMIF(A19:A24,"* (inventaire)",Y19:Y24)</f>
        <v/>
      </c>
      <c r="Z26" s="9">
        <f>SUM(Z19:Z24)-SUMIF(A19:A24,"* (inventaire)",Z19:Z24)</f>
        <v/>
      </c>
      <c r="AA26" s="9">
        <f>SUM(AA19:AA24)-SUMIF(A19:A24,"* (inventaire)",AA19:AA24)</f>
        <v/>
      </c>
      <c r="AB26" s="9">
        <f>SUM(AB19:AB24)-SUMIF(A19:A24,"* (inventaire)",AB19:AB24)</f>
        <v/>
      </c>
      <c r="AC26" s="9">
        <f>SUM(AC19:AC24)-SUMIF(A19:A24,"* (inventaire)",AC19:AC24)</f>
        <v/>
      </c>
      <c r="AD26" s="9">
        <f>SUM(AD19:AD24)-SUMIF(A19:A24,"* (inventaire)",AD19:AD24)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</row>
    <row r="28">
      <c r="A28" s="15" t="inlineStr">
        <is>
          <t>Plan 04 D7-D5 pente A</t>
        </is>
      </c>
      <c r="B28" s="2" t="n"/>
      <c r="C28" s="3" t="inlineStr">
        <is>
          <t>808 entrées dans le template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</row>
    <row r="29" ht="30" customHeight="1">
      <c r="A29" s="11" t="inlineStr">
        <is>
          <t>Pièce</t>
        </is>
      </c>
      <c r="B29" s="11" t="inlineStr">
        <is>
          <t>Nombre</t>
        </is>
      </c>
      <c r="C29" s="11" t="inlineStr">
        <is>
          <t>Lingots de métal / u</t>
        </is>
      </c>
      <c r="D29" s="11" t="inlineStr">
        <is>
          <t>Pâte cimentée / u</t>
        </is>
      </c>
      <c r="E29" s="11" t="inlineStr">
        <is>
          <t>Électroniques / u</t>
        </is>
      </c>
      <c r="F29" s="11" t="inlineStr">
        <is>
          <t>Polymère / u</t>
        </is>
      </c>
      <c r="G29" s="11" t="inlineStr">
        <is>
          <t>Cristal / u</t>
        </is>
      </c>
      <c r="H29" s="11" t="inlineStr">
        <is>
          <t>Élément / u</t>
        </is>
      </c>
      <c r="I29" s="11" t="inlineStr">
        <is>
          <t>Perles noires / u</t>
        </is>
      </c>
      <c r="J29" s="11" t="inlineStr">
        <is>
          <t>Huile / u</t>
        </is>
      </c>
      <c r="K29" s="11" t="inlineStr">
        <is>
          <t>Poudre étincelante / u</t>
        </is>
      </c>
      <c r="L29" s="11" t="inlineStr">
        <is>
          <t>Cuir / u</t>
        </is>
      </c>
      <c r="M29" s="11" t="inlineStr">
        <is>
          <t>Fibre / u</t>
        </is>
      </c>
      <c r="N29" s="11" t="inlineStr">
        <is>
          <t>Chaume / u</t>
        </is>
      </c>
      <c r="O29" s="11" t="inlineStr">
        <is>
          <t>Bois / u</t>
        </is>
      </c>
      <c r="P29" s="11" t="inlineStr">
        <is>
          <t>Pierre / u</t>
        </is>
      </c>
      <c r="Q29" s="11" t="inlineStr">
        <is>
          <t>Lingots de métal total</t>
        </is>
      </c>
      <c r="R29" s="11" t="inlineStr">
        <is>
          <t>Pâte cimentée total</t>
        </is>
      </c>
      <c r="S29" s="11" t="inlineStr">
        <is>
          <t>Électroniques total</t>
        </is>
      </c>
      <c r="T29" s="11" t="inlineStr">
        <is>
          <t>Polymère total</t>
        </is>
      </c>
      <c r="U29" s="11" t="inlineStr">
        <is>
          <t>Cristal total</t>
        </is>
      </c>
      <c r="V29" s="11" t="inlineStr">
        <is>
          <t>Élément total</t>
        </is>
      </c>
      <c r="W29" s="11" t="inlineStr">
        <is>
          <t>Perles noires total</t>
        </is>
      </c>
      <c r="X29" s="11" t="inlineStr">
        <is>
          <t>Huile total</t>
        </is>
      </c>
      <c r="Y29" s="11" t="inlineStr">
        <is>
          <t>Poudre étincelante total</t>
        </is>
      </c>
      <c r="Z29" s="11" t="inlineStr">
        <is>
          <t>Cuir total</t>
        </is>
      </c>
      <c r="AA29" s="11" t="inlineStr">
        <is>
          <t>Fibre total</t>
        </is>
      </c>
      <c r="AB29" s="11" t="inlineStr">
        <is>
          <t>Chaume total</t>
        </is>
      </c>
      <c r="AC29" s="11" t="inlineStr">
        <is>
          <t>Bois total</t>
        </is>
      </c>
      <c r="AD29" s="11" t="inlineStr">
        <is>
          <t>Pierre total</t>
        </is>
      </c>
    </row>
    <row r="30">
      <c r="A30" s="6" t="inlineStr">
        <is>
          <t>Pilier fin métal (Thin Pillar)</t>
        </is>
      </c>
      <c r="B30" s="16" t="n">
        <v>563</v>
      </c>
      <c r="C30" s="7">
        <f>IFERROR(INDEX(Détail!$E$5:$E$30,MATCH("Pilier fin métal (Thin Pillar)",Détail!$B$5:$B$30,0)),0)</f>
        <v/>
      </c>
      <c r="D30" s="7">
        <f>IFERROR(INDEX(Détail!$F$5:$F$30,MATCH("Pilier fin métal (Thin Pillar)",Détail!$B$5:$B$30,0)),0)</f>
        <v/>
      </c>
      <c r="E30" s="7">
        <f>IFERROR(INDEX(Détail!$G$5:$G$30,MATCH("Pilier fin métal (Thin Pillar)",Détail!$B$5:$B$30,0)),0)</f>
        <v/>
      </c>
      <c r="F30" s="7">
        <f>IFERROR(INDEX(Détail!$H$5:$H$30,MATCH("Pilier fin métal (Thin Pillar)",Détail!$B$5:$B$30,0)),0)</f>
        <v/>
      </c>
      <c r="G30" s="7">
        <f>IFERROR(INDEX(Détail!$I$5:$I$30,MATCH("Pilier fin métal (Thin Pillar)",Détail!$B$5:$B$30,0)),0)</f>
        <v/>
      </c>
      <c r="H30" s="7">
        <f>IFERROR(INDEX(Détail!$J$5:$J$30,MATCH("Pilier fin métal (Thin Pillar)",Détail!$B$5:$B$30,0)),0)</f>
        <v/>
      </c>
      <c r="I30" s="7">
        <f>IFERROR(INDEX(Détail!$K$5:$K$30,MATCH("Pilier fin métal (Thin Pillar)",Détail!$B$5:$B$30,0)),0)</f>
        <v/>
      </c>
      <c r="J30" s="7">
        <f>IFERROR(INDEX(Détail!$L$5:$L$30,MATCH("Pilier fin métal (Thin Pillar)",Détail!$B$5:$B$30,0)),0)</f>
        <v/>
      </c>
      <c r="K30" s="7">
        <f>IFERROR(INDEX(Détail!$M$5:$M$30,MATCH("Pilier fin métal (Thin Pillar)",Détail!$B$5:$B$30,0)),0)</f>
        <v/>
      </c>
      <c r="L30" s="7">
        <f>IFERROR(INDEX(Détail!$N$5:$N$30,MATCH("Pilier fin métal (Thin Pillar)",Détail!$B$5:$B$30,0)),0)</f>
        <v/>
      </c>
      <c r="M30" s="7">
        <f>IFERROR(INDEX(Détail!$O$5:$O$30,MATCH("Pilier fin métal (Thin Pillar)",Détail!$B$5:$B$30,0)),0)</f>
        <v/>
      </c>
      <c r="N30" s="7">
        <f>IFERROR(INDEX(Détail!$P$5:$P$30,MATCH("Pilier fin métal (Thin Pillar)",Détail!$B$5:$B$30,0)),0)</f>
        <v/>
      </c>
      <c r="O30" s="7">
        <f>IFERROR(INDEX(Détail!$Q$5:$Q$30,MATCH("Pilier fin métal (Thin Pillar)",Détail!$B$5:$B$30,0)),0)</f>
        <v/>
      </c>
      <c r="P30" s="7">
        <f>IFERROR(INDEX(Détail!$R$5:$R$30,MATCH("Pilier fin métal (Thin Pillar)",Détail!$B$5:$B$30,0)),0)</f>
        <v/>
      </c>
      <c r="Q30" s="14">
        <f>$B30*C30</f>
        <v/>
      </c>
      <c r="R30" s="14">
        <f>$B30*D30</f>
        <v/>
      </c>
      <c r="S30" s="14">
        <f>$B30*E30</f>
        <v/>
      </c>
      <c r="T30" s="14">
        <f>$B30*F30</f>
        <v/>
      </c>
      <c r="U30" s="14">
        <f>$B30*G30</f>
        <v/>
      </c>
      <c r="V30" s="14">
        <f>$B30*H30</f>
        <v/>
      </c>
      <c r="W30" s="14">
        <f>$B30*I30</f>
        <v/>
      </c>
      <c r="X30" s="14">
        <f>$B30*J30</f>
        <v/>
      </c>
      <c r="Y30" s="14">
        <f>$B30*K30</f>
        <v/>
      </c>
      <c r="Z30" s="14">
        <f>$B30*L30</f>
        <v/>
      </c>
      <c r="AA30" s="14">
        <f>$B30*M30</f>
        <v/>
      </c>
      <c r="AB30" s="14">
        <f>$B30*N30</f>
        <v/>
      </c>
      <c r="AC30" s="14">
        <f>$B30*O30</f>
        <v/>
      </c>
      <c r="AD30" s="14">
        <f>$B30*P30</f>
        <v/>
      </c>
    </row>
    <row r="31">
      <c r="A31" s="6" t="inlineStr">
        <is>
          <t>Rampe inclinée métal (Sloped Railing)</t>
        </is>
      </c>
      <c r="B31" s="16" t="n">
        <v>208</v>
      </c>
      <c r="C31" s="7">
        <f>IFERROR(INDEX(Détail!$E$5:$E$30,MATCH("Rampe inclinée métal (Sloped Railing)",Détail!$B$5:$B$30,0)),0)</f>
        <v/>
      </c>
      <c r="D31" s="7">
        <f>IFERROR(INDEX(Détail!$F$5:$F$30,MATCH("Rampe inclinée métal (Sloped Railing)",Détail!$B$5:$B$30,0)),0)</f>
        <v/>
      </c>
      <c r="E31" s="7">
        <f>IFERROR(INDEX(Détail!$G$5:$G$30,MATCH("Rampe inclinée métal (Sloped Railing)",Détail!$B$5:$B$30,0)),0)</f>
        <v/>
      </c>
      <c r="F31" s="7">
        <f>IFERROR(INDEX(Détail!$H$5:$H$30,MATCH("Rampe inclinée métal (Sloped Railing)",Détail!$B$5:$B$30,0)),0)</f>
        <v/>
      </c>
      <c r="G31" s="7">
        <f>IFERROR(INDEX(Détail!$I$5:$I$30,MATCH("Rampe inclinée métal (Sloped Railing)",Détail!$B$5:$B$30,0)),0)</f>
        <v/>
      </c>
      <c r="H31" s="7">
        <f>IFERROR(INDEX(Détail!$J$5:$J$30,MATCH("Rampe inclinée métal (Sloped Railing)",Détail!$B$5:$B$30,0)),0)</f>
        <v/>
      </c>
      <c r="I31" s="7">
        <f>IFERROR(INDEX(Détail!$K$5:$K$30,MATCH("Rampe inclinée métal (Sloped Railing)",Détail!$B$5:$B$30,0)),0)</f>
        <v/>
      </c>
      <c r="J31" s="7">
        <f>IFERROR(INDEX(Détail!$L$5:$L$30,MATCH("Rampe inclinée métal (Sloped Railing)",Détail!$B$5:$B$30,0)),0)</f>
        <v/>
      </c>
      <c r="K31" s="7">
        <f>IFERROR(INDEX(Détail!$M$5:$M$30,MATCH("Rampe inclinée métal (Sloped Railing)",Détail!$B$5:$B$30,0)),0)</f>
        <v/>
      </c>
      <c r="L31" s="7">
        <f>IFERROR(INDEX(Détail!$N$5:$N$30,MATCH("Rampe inclinée métal (Sloped Railing)",Détail!$B$5:$B$30,0)),0)</f>
        <v/>
      </c>
      <c r="M31" s="7">
        <f>IFERROR(INDEX(Détail!$O$5:$O$30,MATCH("Rampe inclinée métal (Sloped Railing)",Détail!$B$5:$B$30,0)),0)</f>
        <v/>
      </c>
      <c r="N31" s="7">
        <f>IFERROR(INDEX(Détail!$P$5:$P$30,MATCH("Rampe inclinée métal (Sloped Railing)",Détail!$B$5:$B$30,0)),0)</f>
        <v/>
      </c>
      <c r="O31" s="7">
        <f>IFERROR(INDEX(Détail!$Q$5:$Q$30,MATCH("Rampe inclinée métal (Sloped Railing)",Détail!$B$5:$B$30,0)),0)</f>
        <v/>
      </c>
      <c r="P31" s="7">
        <f>IFERROR(INDEX(Détail!$R$5:$R$30,MATCH("Rampe inclinée métal (Sloped Railing)",Détail!$B$5:$B$30,0)),0)</f>
        <v/>
      </c>
      <c r="Q31" s="14">
        <f>$B31*C31</f>
        <v/>
      </c>
      <c r="R31" s="14">
        <f>$B31*D31</f>
        <v/>
      </c>
      <c r="S31" s="14">
        <f>$B31*E31</f>
        <v/>
      </c>
      <c r="T31" s="14">
        <f>$B31*F31</f>
        <v/>
      </c>
      <c r="U31" s="14">
        <f>$B31*G31</f>
        <v/>
      </c>
      <c r="V31" s="14">
        <f>$B31*H31</f>
        <v/>
      </c>
      <c r="W31" s="14">
        <f>$B31*I31</f>
        <v/>
      </c>
      <c r="X31" s="14">
        <f>$B31*J31</f>
        <v/>
      </c>
      <c r="Y31" s="14">
        <f>$B31*K31</f>
        <v/>
      </c>
      <c r="Z31" s="14">
        <f>$B31*L31</f>
        <v/>
      </c>
      <c r="AA31" s="14">
        <f>$B31*M31</f>
        <v/>
      </c>
      <c r="AB31" s="14">
        <f>$B31*N31</f>
        <v/>
      </c>
      <c r="AC31" s="14">
        <f>$B31*O31</f>
        <v/>
      </c>
      <c r="AD31" s="14">
        <f>$B31*P31</f>
        <v/>
      </c>
    </row>
    <row r="32">
      <c r="A32" s="6" t="inlineStr">
        <is>
          <t>Cadre de porte double métal</t>
        </is>
      </c>
      <c r="B32" s="16" t="n">
        <v>32</v>
      </c>
      <c r="C32" s="7">
        <f>IFERROR(INDEX(Détail!$E$5:$E$30,MATCH("Cadre de porte double métal",Détail!$B$5:$B$30,0)),0)</f>
        <v/>
      </c>
      <c r="D32" s="7">
        <f>IFERROR(INDEX(Détail!$F$5:$F$30,MATCH("Cadre de porte double métal",Détail!$B$5:$B$30,0)),0)</f>
        <v/>
      </c>
      <c r="E32" s="7">
        <f>IFERROR(INDEX(Détail!$G$5:$G$30,MATCH("Cadre de porte double métal",Détail!$B$5:$B$30,0)),0)</f>
        <v/>
      </c>
      <c r="F32" s="7">
        <f>IFERROR(INDEX(Détail!$H$5:$H$30,MATCH("Cadre de porte double métal",Détail!$B$5:$B$30,0)),0)</f>
        <v/>
      </c>
      <c r="G32" s="7">
        <f>IFERROR(INDEX(Détail!$I$5:$I$30,MATCH("Cadre de porte double métal",Détail!$B$5:$B$30,0)),0)</f>
        <v/>
      </c>
      <c r="H32" s="7">
        <f>IFERROR(INDEX(Détail!$J$5:$J$30,MATCH("Cadre de porte double métal",Détail!$B$5:$B$30,0)),0)</f>
        <v/>
      </c>
      <c r="I32" s="7">
        <f>IFERROR(INDEX(Détail!$K$5:$K$30,MATCH("Cadre de porte double métal",Détail!$B$5:$B$30,0)),0)</f>
        <v/>
      </c>
      <c r="J32" s="7">
        <f>IFERROR(INDEX(Détail!$L$5:$L$30,MATCH("Cadre de porte double métal",Détail!$B$5:$B$30,0)),0)</f>
        <v/>
      </c>
      <c r="K32" s="7">
        <f>IFERROR(INDEX(Détail!$M$5:$M$30,MATCH("Cadre de porte double métal",Détail!$B$5:$B$30,0)),0)</f>
        <v/>
      </c>
      <c r="L32" s="7">
        <f>IFERROR(INDEX(Détail!$N$5:$N$30,MATCH("Cadre de porte double métal",Détail!$B$5:$B$30,0)),0)</f>
        <v/>
      </c>
      <c r="M32" s="7">
        <f>IFERROR(INDEX(Détail!$O$5:$O$30,MATCH("Cadre de porte double métal",Détail!$B$5:$B$30,0)),0)</f>
        <v/>
      </c>
      <c r="N32" s="7">
        <f>IFERROR(INDEX(Détail!$P$5:$P$30,MATCH("Cadre de porte double métal",Détail!$B$5:$B$30,0)),0)</f>
        <v/>
      </c>
      <c r="O32" s="7">
        <f>IFERROR(INDEX(Détail!$Q$5:$Q$30,MATCH("Cadre de porte double métal",Détail!$B$5:$B$30,0)),0)</f>
        <v/>
      </c>
      <c r="P32" s="7">
        <f>IFERROR(INDEX(Détail!$R$5:$R$30,MATCH("Cadre de porte double métal",Détail!$B$5:$B$30,0)),0)</f>
        <v/>
      </c>
      <c r="Q32" s="14">
        <f>$B32*C32</f>
        <v/>
      </c>
      <c r="R32" s="14">
        <f>$B32*D32</f>
        <v/>
      </c>
      <c r="S32" s="14">
        <f>$B32*E32</f>
        <v/>
      </c>
      <c r="T32" s="14">
        <f>$B32*F32</f>
        <v/>
      </c>
      <c r="U32" s="14">
        <f>$B32*G32</f>
        <v/>
      </c>
      <c r="V32" s="14">
        <f>$B32*H32</f>
        <v/>
      </c>
      <c r="W32" s="14">
        <f>$B32*I32</f>
        <v/>
      </c>
      <c r="X32" s="14">
        <f>$B32*J32</f>
        <v/>
      </c>
      <c r="Y32" s="14">
        <f>$B32*K32</f>
        <v/>
      </c>
      <c r="Z32" s="14">
        <f>$B32*L32</f>
        <v/>
      </c>
      <c r="AA32" s="14">
        <f>$B32*M32</f>
        <v/>
      </c>
      <c r="AB32" s="14">
        <f>$B32*N32</f>
        <v/>
      </c>
      <c r="AC32" s="14">
        <f>$B32*O32</f>
        <v/>
      </c>
      <c r="AD32" s="14">
        <f>$B32*P32</f>
        <v/>
      </c>
    </row>
    <row r="33">
      <c r="A33" s="6" t="inlineStr">
        <is>
          <t>Mur de chaume (gabarit de pose, à démolir)</t>
        </is>
      </c>
      <c r="B33" s="16" t="n">
        <v>4</v>
      </c>
      <c r="C33" s="7">
        <f>IFERROR(INDEX(Détail!$E$5:$E$30,MATCH("Mur de chaume (gabarit de pose, à démolir)",Détail!$B$5:$B$30,0)),0)</f>
        <v/>
      </c>
      <c r="D33" s="7">
        <f>IFERROR(INDEX(Détail!$F$5:$F$30,MATCH("Mur de chaume (gabarit de pose, à démolir)",Détail!$B$5:$B$30,0)),0)</f>
        <v/>
      </c>
      <c r="E33" s="7">
        <f>IFERROR(INDEX(Détail!$G$5:$G$30,MATCH("Mur de chaume (gabarit de pose, à démolir)",Détail!$B$5:$B$30,0)),0)</f>
        <v/>
      </c>
      <c r="F33" s="7">
        <f>IFERROR(INDEX(Détail!$H$5:$H$30,MATCH("Mur de chaume (gabarit de pose, à démolir)",Détail!$B$5:$B$30,0)),0)</f>
        <v/>
      </c>
      <c r="G33" s="7">
        <f>IFERROR(INDEX(Détail!$I$5:$I$30,MATCH("Mur de chaume (gabarit de pose, à démolir)",Détail!$B$5:$B$30,0)),0)</f>
        <v/>
      </c>
      <c r="H33" s="7">
        <f>IFERROR(INDEX(Détail!$J$5:$J$30,MATCH("Mur de chaume (gabarit de pose, à démolir)",Détail!$B$5:$B$30,0)),0)</f>
        <v/>
      </c>
      <c r="I33" s="7">
        <f>IFERROR(INDEX(Détail!$K$5:$K$30,MATCH("Mur de chaume (gabarit de pose, à démolir)",Détail!$B$5:$B$30,0)),0)</f>
        <v/>
      </c>
      <c r="J33" s="7">
        <f>IFERROR(INDEX(Détail!$L$5:$L$30,MATCH("Mur de chaume (gabarit de pose, à démolir)",Détail!$B$5:$B$30,0)),0)</f>
        <v/>
      </c>
      <c r="K33" s="7">
        <f>IFERROR(INDEX(Détail!$M$5:$M$30,MATCH("Mur de chaume (gabarit de pose, à démolir)",Détail!$B$5:$B$30,0)),0)</f>
        <v/>
      </c>
      <c r="L33" s="7">
        <f>IFERROR(INDEX(Détail!$N$5:$N$30,MATCH("Mur de chaume (gabarit de pose, à démolir)",Détail!$B$5:$B$30,0)),0)</f>
        <v/>
      </c>
      <c r="M33" s="7">
        <f>IFERROR(INDEX(Détail!$O$5:$O$30,MATCH("Mur de chaume (gabarit de pose, à démolir)",Détail!$B$5:$B$30,0)),0)</f>
        <v/>
      </c>
      <c r="N33" s="7">
        <f>IFERROR(INDEX(Détail!$P$5:$P$30,MATCH("Mur de chaume (gabarit de pose, à démolir)",Détail!$B$5:$B$30,0)),0)</f>
        <v/>
      </c>
      <c r="O33" s="7">
        <f>IFERROR(INDEX(Détail!$Q$5:$Q$30,MATCH("Mur de chaume (gabarit de pose, à démolir)",Détail!$B$5:$B$30,0)),0)</f>
        <v/>
      </c>
      <c r="P33" s="7">
        <f>IFERROR(INDEX(Détail!$R$5:$R$30,MATCH("Mur de chaume (gabarit de pose, à démolir)",Détail!$B$5:$B$30,0)),0)</f>
        <v/>
      </c>
      <c r="Q33" s="14">
        <f>$B33*C33</f>
        <v/>
      </c>
      <c r="R33" s="14">
        <f>$B33*D33</f>
        <v/>
      </c>
      <c r="S33" s="14">
        <f>$B33*E33</f>
        <v/>
      </c>
      <c r="T33" s="14">
        <f>$B33*F33</f>
        <v/>
      </c>
      <c r="U33" s="14">
        <f>$B33*G33</f>
        <v/>
      </c>
      <c r="V33" s="14">
        <f>$B33*H33</f>
        <v/>
      </c>
      <c r="W33" s="14">
        <f>$B33*I33</f>
        <v/>
      </c>
      <c r="X33" s="14">
        <f>$B33*J33</f>
        <v/>
      </c>
      <c r="Y33" s="14">
        <f>$B33*K33</f>
        <v/>
      </c>
      <c r="Z33" s="14">
        <f>$B33*L33</f>
        <v/>
      </c>
      <c r="AA33" s="14">
        <f>$B33*M33</f>
        <v/>
      </c>
      <c r="AB33" s="14">
        <f>$B33*N33</f>
        <v/>
      </c>
      <c r="AC33" s="14">
        <f>$B33*O33</f>
        <v/>
      </c>
      <c r="AD33" s="14">
        <f>$B33*P33</f>
        <v/>
      </c>
    </row>
    <row r="34">
      <c r="A34" s="8" t="inlineStr">
        <is>
          <t>Total</t>
        </is>
      </c>
      <c r="B34" s="9">
        <f>SUM(B30:B33)</f>
        <v/>
      </c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9">
        <f>SUM(Q30:Q33)</f>
        <v/>
      </c>
      <c r="R34" s="9">
        <f>SUM(R30:R33)</f>
        <v/>
      </c>
      <c r="S34" s="9">
        <f>SUM(S30:S33)</f>
        <v/>
      </c>
      <c r="T34" s="9">
        <f>SUM(T30:T33)</f>
        <v/>
      </c>
      <c r="U34" s="9">
        <f>SUM(U30:U33)</f>
        <v/>
      </c>
      <c r="V34" s="9">
        <f>SUM(V30:V33)</f>
        <v/>
      </c>
      <c r="W34" s="9">
        <f>SUM(W30:W33)</f>
        <v/>
      </c>
      <c r="X34" s="9">
        <f>SUM(X30:X33)</f>
        <v/>
      </c>
      <c r="Y34" s="9">
        <f>SUM(Y30:Y33)</f>
        <v/>
      </c>
      <c r="Z34" s="9">
        <f>SUM(Z30:Z33)</f>
        <v/>
      </c>
      <c r="AA34" s="9">
        <f>SUM(AA30:AA33)</f>
        <v/>
      </c>
      <c r="AB34" s="9">
        <f>SUM(AB30:AB33)</f>
        <v/>
      </c>
      <c r="AC34" s="9">
        <f>SUM(AC30:AC33)</f>
        <v/>
      </c>
      <c r="AD34" s="9">
        <f>SUM(AD30:AD33)</f>
        <v/>
      </c>
    </row>
    <row r="35">
      <c r="A35" s="8" t="inlineStr">
        <is>
          <t>À fabriquer (hors tourelles)</t>
        </is>
      </c>
      <c r="B35" s="9">
        <f>SUM(B30:B33)-SUMIF(A30:A33,"* (inventaire)",B30:B33)</f>
        <v/>
      </c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9">
        <f>SUM(Q30:Q33)-SUMIF(A30:A33,"* (inventaire)",Q30:Q33)</f>
        <v/>
      </c>
      <c r="R35" s="9">
        <f>SUM(R30:R33)-SUMIF(A30:A33,"* (inventaire)",R30:R33)</f>
        <v/>
      </c>
      <c r="S35" s="9">
        <f>SUM(S30:S33)-SUMIF(A30:A33,"* (inventaire)",S30:S33)</f>
        <v/>
      </c>
      <c r="T35" s="9">
        <f>SUM(T30:T33)-SUMIF(A30:A33,"* (inventaire)",T30:T33)</f>
        <v/>
      </c>
      <c r="U35" s="9">
        <f>SUM(U30:U33)-SUMIF(A30:A33,"* (inventaire)",U30:U33)</f>
        <v/>
      </c>
      <c r="V35" s="9">
        <f>SUM(V30:V33)-SUMIF(A30:A33,"* (inventaire)",V30:V33)</f>
        <v/>
      </c>
      <c r="W35" s="9">
        <f>SUM(W30:W33)-SUMIF(A30:A33,"* (inventaire)",W30:W33)</f>
        <v/>
      </c>
      <c r="X35" s="9">
        <f>SUM(X30:X33)-SUMIF(A30:A33,"* (inventaire)",X30:X33)</f>
        <v/>
      </c>
      <c r="Y35" s="9">
        <f>SUM(Y30:Y33)-SUMIF(A30:A33,"* (inventaire)",Y30:Y33)</f>
        <v/>
      </c>
      <c r="Z35" s="9">
        <f>SUM(Z30:Z33)-SUMIF(A30:A33,"* (inventaire)",Z30:Z33)</f>
        <v/>
      </c>
      <c r="AA35" s="9">
        <f>SUM(AA30:AA33)-SUMIF(A30:A33,"* (inventaire)",AA30:AA33)</f>
        <v/>
      </c>
      <c r="AB35" s="9">
        <f>SUM(AB30:AB33)-SUMIF(A30:A33,"* (inventaire)",AB30:AB33)</f>
        <v/>
      </c>
      <c r="AC35" s="9">
        <f>SUM(AC30:AC33)-SUMIF(A30:A33,"* (inventaire)",AC30:AC33)</f>
        <v/>
      </c>
      <c r="AD35" s="9">
        <f>SUM(AD30:AD33)-SUMIF(A30:A33,"* (inventaire)",AD30:AD33)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</row>
    <row r="37">
      <c r="A37" s="15" t="inlineStr">
        <is>
          <t>Plan 05 tour du pod D4</t>
        </is>
      </c>
      <c r="B37" s="2" t="n"/>
      <c r="C37" s="3" t="inlineStr">
        <is>
          <t>946 entrées dans le template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</row>
    <row r="38" ht="30" customHeight="1">
      <c r="A38" s="11" t="inlineStr">
        <is>
          <t>Pièce</t>
        </is>
      </c>
      <c r="B38" s="11" t="inlineStr">
        <is>
          <t>Nombre</t>
        </is>
      </c>
      <c r="C38" s="11" t="inlineStr">
        <is>
          <t>Lingots de métal / u</t>
        </is>
      </c>
      <c r="D38" s="11" t="inlineStr">
        <is>
          <t>Pâte cimentée / u</t>
        </is>
      </c>
      <c r="E38" s="11" t="inlineStr">
        <is>
          <t>Électroniques / u</t>
        </is>
      </c>
      <c r="F38" s="11" t="inlineStr">
        <is>
          <t>Polymère / u</t>
        </is>
      </c>
      <c r="G38" s="11" t="inlineStr">
        <is>
          <t>Cristal / u</t>
        </is>
      </c>
      <c r="H38" s="11" t="inlineStr">
        <is>
          <t>Élément / u</t>
        </is>
      </c>
      <c r="I38" s="11" t="inlineStr">
        <is>
          <t>Perles noires / u</t>
        </is>
      </c>
      <c r="J38" s="11" t="inlineStr">
        <is>
          <t>Huile / u</t>
        </is>
      </c>
      <c r="K38" s="11" t="inlineStr">
        <is>
          <t>Poudre étincelante / u</t>
        </is>
      </c>
      <c r="L38" s="11" t="inlineStr">
        <is>
          <t>Cuir / u</t>
        </is>
      </c>
      <c r="M38" s="11" t="inlineStr">
        <is>
          <t>Fibre / u</t>
        </is>
      </c>
      <c r="N38" s="11" t="inlineStr">
        <is>
          <t>Chaume / u</t>
        </is>
      </c>
      <c r="O38" s="11" t="inlineStr">
        <is>
          <t>Bois / u</t>
        </is>
      </c>
      <c r="P38" s="11" t="inlineStr">
        <is>
          <t>Pierre / u</t>
        </is>
      </c>
      <c r="Q38" s="11" t="inlineStr">
        <is>
          <t>Lingots de métal total</t>
        </is>
      </c>
      <c r="R38" s="11" t="inlineStr">
        <is>
          <t>Pâte cimentée total</t>
        </is>
      </c>
      <c r="S38" s="11" t="inlineStr">
        <is>
          <t>Électroniques total</t>
        </is>
      </c>
      <c r="T38" s="11" t="inlineStr">
        <is>
          <t>Polymère total</t>
        </is>
      </c>
      <c r="U38" s="11" t="inlineStr">
        <is>
          <t>Cristal total</t>
        </is>
      </c>
      <c r="V38" s="11" t="inlineStr">
        <is>
          <t>Élément total</t>
        </is>
      </c>
      <c r="W38" s="11" t="inlineStr">
        <is>
          <t>Perles noires total</t>
        </is>
      </c>
      <c r="X38" s="11" t="inlineStr">
        <is>
          <t>Huile total</t>
        </is>
      </c>
      <c r="Y38" s="11" t="inlineStr">
        <is>
          <t>Poudre étincelante total</t>
        </is>
      </c>
      <c r="Z38" s="11" t="inlineStr">
        <is>
          <t>Cuir total</t>
        </is>
      </c>
      <c r="AA38" s="11" t="inlineStr">
        <is>
          <t>Fibre total</t>
        </is>
      </c>
      <c r="AB38" s="11" t="inlineStr">
        <is>
          <t>Chaume total</t>
        </is>
      </c>
      <c r="AC38" s="11" t="inlineStr">
        <is>
          <t>Bois total</t>
        </is>
      </c>
      <c r="AD38" s="11" t="inlineStr">
        <is>
          <t>Pierre total</t>
        </is>
      </c>
    </row>
    <row r="39">
      <c r="A39" s="6" t="inlineStr">
        <is>
          <t>Mur métal</t>
        </is>
      </c>
      <c r="B39" s="16" t="n">
        <v>437</v>
      </c>
      <c r="C39" s="7">
        <f>IFERROR(INDEX(Détail!$E$5:$E$30,MATCH("Mur métal",Détail!$B$5:$B$30,0)),0)</f>
        <v/>
      </c>
      <c r="D39" s="7">
        <f>IFERROR(INDEX(Détail!$F$5:$F$30,MATCH("Mur métal",Détail!$B$5:$B$30,0)),0)</f>
        <v/>
      </c>
      <c r="E39" s="7">
        <f>IFERROR(INDEX(Détail!$G$5:$G$30,MATCH("Mur métal",Détail!$B$5:$B$30,0)),0)</f>
        <v/>
      </c>
      <c r="F39" s="7">
        <f>IFERROR(INDEX(Détail!$H$5:$H$30,MATCH("Mur métal",Détail!$B$5:$B$30,0)),0)</f>
        <v/>
      </c>
      <c r="G39" s="7">
        <f>IFERROR(INDEX(Détail!$I$5:$I$30,MATCH("Mur métal",Détail!$B$5:$B$30,0)),0)</f>
        <v/>
      </c>
      <c r="H39" s="7">
        <f>IFERROR(INDEX(Détail!$J$5:$J$30,MATCH("Mur métal",Détail!$B$5:$B$30,0)),0)</f>
        <v/>
      </c>
      <c r="I39" s="7">
        <f>IFERROR(INDEX(Détail!$K$5:$K$30,MATCH("Mur métal",Détail!$B$5:$B$30,0)),0)</f>
        <v/>
      </c>
      <c r="J39" s="7">
        <f>IFERROR(INDEX(Détail!$L$5:$L$30,MATCH("Mur métal",Détail!$B$5:$B$30,0)),0)</f>
        <v/>
      </c>
      <c r="K39" s="7">
        <f>IFERROR(INDEX(Détail!$M$5:$M$30,MATCH("Mur métal",Détail!$B$5:$B$30,0)),0)</f>
        <v/>
      </c>
      <c r="L39" s="7">
        <f>IFERROR(INDEX(Détail!$N$5:$N$30,MATCH("Mur métal",Détail!$B$5:$B$30,0)),0)</f>
        <v/>
      </c>
      <c r="M39" s="7">
        <f>IFERROR(INDEX(Détail!$O$5:$O$30,MATCH("Mur métal",Détail!$B$5:$B$30,0)),0)</f>
        <v/>
      </c>
      <c r="N39" s="7">
        <f>IFERROR(INDEX(Détail!$P$5:$P$30,MATCH("Mur métal",Détail!$B$5:$B$30,0)),0)</f>
        <v/>
      </c>
      <c r="O39" s="7">
        <f>IFERROR(INDEX(Détail!$Q$5:$Q$30,MATCH("Mur métal",Détail!$B$5:$B$30,0)),0)</f>
        <v/>
      </c>
      <c r="P39" s="7">
        <f>IFERROR(INDEX(Détail!$R$5:$R$30,MATCH("Mur métal",Détail!$B$5:$B$30,0)),0)</f>
        <v/>
      </c>
      <c r="Q39" s="14">
        <f>$B39*C39</f>
        <v/>
      </c>
      <c r="R39" s="14">
        <f>$B39*D39</f>
        <v/>
      </c>
      <c r="S39" s="14">
        <f>$B39*E39</f>
        <v/>
      </c>
      <c r="T39" s="14">
        <f>$B39*F39</f>
        <v/>
      </c>
      <c r="U39" s="14">
        <f>$B39*G39</f>
        <v/>
      </c>
      <c r="V39" s="14">
        <f>$B39*H39</f>
        <v/>
      </c>
      <c r="W39" s="14">
        <f>$B39*I39</f>
        <v/>
      </c>
      <c r="X39" s="14">
        <f>$B39*J39</f>
        <v/>
      </c>
      <c r="Y39" s="14">
        <f>$B39*K39</f>
        <v/>
      </c>
      <c r="Z39" s="14">
        <f>$B39*L39</f>
        <v/>
      </c>
      <c r="AA39" s="14">
        <f>$B39*M39</f>
        <v/>
      </c>
      <c r="AB39" s="14">
        <f>$B39*N39</f>
        <v/>
      </c>
      <c r="AC39" s="14">
        <f>$B39*O39</f>
        <v/>
      </c>
      <c r="AD39" s="14">
        <f>$B39*P39</f>
        <v/>
      </c>
    </row>
    <row r="40">
      <c r="A40" s="6" t="inlineStr">
        <is>
          <t>Pilier métal</t>
        </is>
      </c>
      <c r="B40" s="16" t="n">
        <v>216</v>
      </c>
      <c r="C40" s="7">
        <f>IFERROR(INDEX(Détail!$E$5:$E$30,MATCH("Pilier métal",Détail!$B$5:$B$30,0)),0)</f>
        <v/>
      </c>
      <c r="D40" s="7">
        <f>IFERROR(INDEX(Détail!$F$5:$F$30,MATCH("Pilier métal",Détail!$B$5:$B$30,0)),0)</f>
        <v/>
      </c>
      <c r="E40" s="7">
        <f>IFERROR(INDEX(Détail!$G$5:$G$30,MATCH("Pilier métal",Détail!$B$5:$B$30,0)),0)</f>
        <v/>
      </c>
      <c r="F40" s="7">
        <f>IFERROR(INDEX(Détail!$H$5:$H$30,MATCH("Pilier métal",Détail!$B$5:$B$30,0)),0)</f>
        <v/>
      </c>
      <c r="G40" s="7">
        <f>IFERROR(INDEX(Détail!$I$5:$I$30,MATCH("Pilier métal",Détail!$B$5:$B$30,0)),0)</f>
        <v/>
      </c>
      <c r="H40" s="7">
        <f>IFERROR(INDEX(Détail!$J$5:$J$30,MATCH("Pilier métal",Détail!$B$5:$B$30,0)),0)</f>
        <v/>
      </c>
      <c r="I40" s="7">
        <f>IFERROR(INDEX(Détail!$K$5:$K$30,MATCH("Pilier métal",Détail!$B$5:$B$30,0)),0)</f>
        <v/>
      </c>
      <c r="J40" s="7">
        <f>IFERROR(INDEX(Détail!$L$5:$L$30,MATCH("Pilier métal",Détail!$B$5:$B$30,0)),0)</f>
        <v/>
      </c>
      <c r="K40" s="7">
        <f>IFERROR(INDEX(Détail!$M$5:$M$30,MATCH("Pilier métal",Détail!$B$5:$B$30,0)),0)</f>
        <v/>
      </c>
      <c r="L40" s="7">
        <f>IFERROR(INDEX(Détail!$N$5:$N$30,MATCH("Pilier métal",Détail!$B$5:$B$30,0)),0)</f>
        <v/>
      </c>
      <c r="M40" s="7">
        <f>IFERROR(INDEX(Détail!$O$5:$O$30,MATCH("Pilier métal",Détail!$B$5:$B$30,0)),0)</f>
        <v/>
      </c>
      <c r="N40" s="7">
        <f>IFERROR(INDEX(Détail!$P$5:$P$30,MATCH("Pilier métal",Détail!$B$5:$B$30,0)),0)</f>
        <v/>
      </c>
      <c r="O40" s="7">
        <f>IFERROR(INDEX(Détail!$Q$5:$Q$30,MATCH("Pilier métal",Détail!$B$5:$B$30,0)),0)</f>
        <v/>
      </c>
      <c r="P40" s="7">
        <f>IFERROR(INDEX(Détail!$R$5:$R$30,MATCH("Pilier métal",Détail!$B$5:$B$30,0)),0)</f>
        <v/>
      </c>
      <c r="Q40" s="14">
        <f>$B40*C40</f>
        <v/>
      </c>
      <c r="R40" s="14">
        <f>$B40*D40</f>
        <v/>
      </c>
      <c r="S40" s="14">
        <f>$B40*E40</f>
        <v/>
      </c>
      <c r="T40" s="14">
        <f>$B40*F40</f>
        <v/>
      </c>
      <c r="U40" s="14">
        <f>$B40*G40</f>
        <v/>
      </c>
      <c r="V40" s="14">
        <f>$B40*H40</f>
        <v/>
      </c>
      <c r="W40" s="14">
        <f>$B40*I40</f>
        <v/>
      </c>
      <c r="X40" s="14">
        <f>$B40*J40</f>
        <v/>
      </c>
      <c r="Y40" s="14">
        <f>$B40*K40</f>
        <v/>
      </c>
      <c r="Z40" s="14">
        <f>$B40*L40</f>
        <v/>
      </c>
      <c r="AA40" s="14">
        <f>$B40*M40</f>
        <v/>
      </c>
      <c r="AB40" s="14">
        <f>$B40*N40</f>
        <v/>
      </c>
      <c r="AC40" s="14">
        <f>$B40*O40</f>
        <v/>
      </c>
      <c r="AD40" s="14">
        <f>$B40*P40</f>
        <v/>
      </c>
    </row>
    <row r="41">
      <c r="A41" s="6" t="inlineStr">
        <is>
          <t>Plafond triangle métal</t>
        </is>
      </c>
      <c r="B41" s="16" t="n">
        <v>170</v>
      </c>
      <c r="C41" s="7">
        <f>IFERROR(INDEX(Détail!$E$5:$E$30,MATCH("Plafond triangle métal",Détail!$B$5:$B$30,0)),0)</f>
        <v/>
      </c>
      <c r="D41" s="7">
        <f>IFERROR(INDEX(Détail!$F$5:$F$30,MATCH("Plafond triangle métal",Détail!$B$5:$B$30,0)),0)</f>
        <v/>
      </c>
      <c r="E41" s="7">
        <f>IFERROR(INDEX(Détail!$G$5:$G$30,MATCH("Plafond triangle métal",Détail!$B$5:$B$30,0)),0)</f>
        <v/>
      </c>
      <c r="F41" s="7">
        <f>IFERROR(INDEX(Détail!$H$5:$H$30,MATCH("Plafond triangle métal",Détail!$B$5:$B$30,0)),0)</f>
        <v/>
      </c>
      <c r="G41" s="7">
        <f>IFERROR(INDEX(Détail!$I$5:$I$30,MATCH("Plafond triangle métal",Détail!$B$5:$B$30,0)),0)</f>
        <v/>
      </c>
      <c r="H41" s="7">
        <f>IFERROR(INDEX(Détail!$J$5:$J$30,MATCH("Plafond triangle métal",Détail!$B$5:$B$30,0)),0)</f>
        <v/>
      </c>
      <c r="I41" s="7">
        <f>IFERROR(INDEX(Détail!$K$5:$K$30,MATCH("Plafond triangle métal",Détail!$B$5:$B$30,0)),0)</f>
        <v/>
      </c>
      <c r="J41" s="7">
        <f>IFERROR(INDEX(Détail!$L$5:$L$30,MATCH("Plafond triangle métal",Détail!$B$5:$B$30,0)),0)</f>
        <v/>
      </c>
      <c r="K41" s="7">
        <f>IFERROR(INDEX(Détail!$M$5:$M$30,MATCH("Plafond triangle métal",Détail!$B$5:$B$30,0)),0)</f>
        <v/>
      </c>
      <c r="L41" s="7">
        <f>IFERROR(INDEX(Détail!$N$5:$N$30,MATCH("Plafond triangle métal",Détail!$B$5:$B$30,0)),0)</f>
        <v/>
      </c>
      <c r="M41" s="7">
        <f>IFERROR(INDEX(Détail!$O$5:$O$30,MATCH("Plafond triangle métal",Détail!$B$5:$B$30,0)),0)</f>
        <v/>
      </c>
      <c r="N41" s="7">
        <f>IFERROR(INDEX(Détail!$P$5:$P$30,MATCH("Plafond triangle métal",Détail!$B$5:$B$30,0)),0)</f>
        <v/>
      </c>
      <c r="O41" s="7">
        <f>IFERROR(INDEX(Détail!$Q$5:$Q$30,MATCH("Plafond triangle métal",Détail!$B$5:$B$30,0)),0)</f>
        <v/>
      </c>
      <c r="P41" s="7">
        <f>IFERROR(INDEX(Détail!$R$5:$R$30,MATCH("Plafond triangle métal",Détail!$B$5:$B$30,0)),0)</f>
        <v/>
      </c>
      <c r="Q41" s="14">
        <f>$B41*C41</f>
        <v/>
      </c>
      <c r="R41" s="14">
        <f>$B41*D41</f>
        <v/>
      </c>
      <c r="S41" s="14">
        <f>$B41*E41</f>
        <v/>
      </c>
      <c r="T41" s="14">
        <f>$B41*F41</f>
        <v/>
      </c>
      <c r="U41" s="14">
        <f>$B41*G41</f>
        <v/>
      </c>
      <c r="V41" s="14">
        <f>$B41*H41</f>
        <v/>
      </c>
      <c r="W41" s="14">
        <f>$B41*I41</f>
        <v/>
      </c>
      <c r="X41" s="14">
        <f>$B41*J41</f>
        <v/>
      </c>
      <c r="Y41" s="14">
        <f>$B41*K41</f>
        <v/>
      </c>
      <c r="Z41" s="14">
        <f>$B41*L41</f>
        <v/>
      </c>
      <c r="AA41" s="14">
        <f>$B41*M41</f>
        <v/>
      </c>
      <c r="AB41" s="14">
        <f>$B41*N41</f>
        <v/>
      </c>
      <c r="AC41" s="14">
        <f>$B41*O41</f>
        <v/>
      </c>
      <c r="AD41" s="14">
        <f>$B41*P41</f>
        <v/>
      </c>
    </row>
    <row r="42">
      <c r="A42" s="6" t="inlineStr">
        <is>
          <t>Plafond métal</t>
        </is>
      </c>
      <c r="B42" s="16" t="n">
        <v>85</v>
      </c>
      <c r="C42" s="7">
        <f>IFERROR(INDEX(Détail!$E$5:$E$30,MATCH("Plafond métal",Détail!$B$5:$B$30,0)),0)</f>
        <v/>
      </c>
      <c r="D42" s="7">
        <f>IFERROR(INDEX(Détail!$F$5:$F$30,MATCH("Plafond métal",Détail!$B$5:$B$30,0)),0)</f>
        <v/>
      </c>
      <c r="E42" s="7">
        <f>IFERROR(INDEX(Détail!$G$5:$G$30,MATCH("Plafond métal",Détail!$B$5:$B$30,0)),0)</f>
        <v/>
      </c>
      <c r="F42" s="7">
        <f>IFERROR(INDEX(Détail!$H$5:$H$30,MATCH("Plafond métal",Détail!$B$5:$B$30,0)),0)</f>
        <v/>
      </c>
      <c r="G42" s="7">
        <f>IFERROR(INDEX(Détail!$I$5:$I$30,MATCH("Plafond métal",Détail!$B$5:$B$30,0)),0)</f>
        <v/>
      </c>
      <c r="H42" s="7">
        <f>IFERROR(INDEX(Détail!$J$5:$J$30,MATCH("Plafond métal",Détail!$B$5:$B$30,0)),0)</f>
        <v/>
      </c>
      <c r="I42" s="7">
        <f>IFERROR(INDEX(Détail!$K$5:$K$30,MATCH("Plafond métal",Détail!$B$5:$B$30,0)),0)</f>
        <v/>
      </c>
      <c r="J42" s="7">
        <f>IFERROR(INDEX(Détail!$L$5:$L$30,MATCH("Plafond métal",Détail!$B$5:$B$30,0)),0)</f>
        <v/>
      </c>
      <c r="K42" s="7">
        <f>IFERROR(INDEX(Détail!$M$5:$M$30,MATCH("Plafond métal",Détail!$B$5:$B$30,0)),0)</f>
        <v/>
      </c>
      <c r="L42" s="7">
        <f>IFERROR(INDEX(Détail!$N$5:$N$30,MATCH("Plafond métal",Détail!$B$5:$B$30,0)),0)</f>
        <v/>
      </c>
      <c r="M42" s="7">
        <f>IFERROR(INDEX(Détail!$O$5:$O$30,MATCH("Plafond métal",Détail!$B$5:$B$30,0)),0)</f>
        <v/>
      </c>
      <c r="N42" s="7">
        <f>IFERROR(INDEX(Détail!$P$5:$P$30,MATCH("Plafond métal",Détail!$B$5:$B$30,0)),0)</f>
        <v/>
      </c>
      <c r="O42" s="7">
        <f>IFERROR(INDEX(Détail!$Q$5:$Q$30,MATCH("Plafond métal",Détail!$B$5:$B$30,0)),0)</f>
        <v/>
      </c>
      <c r="P42" s="7">
        <f>IFERROR(INDEX(Détail!$R$5:$R$30,MATCH("Plafond métal",Détail!$B$5:$B$30,0)),0)</f>
        <v/>
      </c>
      <c r="Q42" s="14">
        <f>$B42*C42</f>
        <v/>
      </c>
      <c r="R42" s="14">
        <f>$B42*D42</f>
        <v/>
      </c>
      <c r="S42" s="14">
        <f>$B42*E42</f>
        <v/>
      </c>
      <c r="T42" s="14">
        <f>$B42*F42</f>
        <v/>
      </c>
      <c r="U42" s="14">
        <f>$B42*G42</f>
        <v/>
      </c>
      <c r="V42" s="14">
        <f>$B42*H42</f>
        <v/>
      </c>
      <c r="W42" s="14">
        <f>$B42*I42</f>
        <v/>
      </c>
      <c r="X42" s="14">
        <f>$B42*J42</f>
        <v/>
      </c>
      <c r="Y42" s="14">
        <f>$B42*K42</f>
        <v/>
      </c>
      <c r="Z42" s="14">
        <f>$B42*L42</f>
        <v/>
      </c>
      <c r="AA42" s="14">
        <f>$B42*M42</f>
        <v/>
      </c>
      <c r="AB42" s="14">
        <f>$B42*N42</f>
        <v/>
      </c>
      <c r="AC42" s="14">
        <f>$B42*O42</f>
        <v/>
      </c>
      <c r="AD42" s="14">
        <f>$B42*P42</f>
        <v/>
      </c>
    </row>
    <row r="43">
      <c r="A43" s="6" t="inlineStr">
        <is>
          <t>Cadre de porte double métal</t>
        </is>
      </c>
      <c r="B43" s="16" t="n">
        <v>17</v>
      </c>
      <c r="C43" s="7">
        <f>IFERROR(INDEX(Détail!$E$5:$E$30,MATCH("Cadre de porte double métal",Détail!$B$5:$B$30,0)),0)</f>
        <v/>
      </c>
      <c r="D43" s="7">
        <f>IFERROR(INDEX(Détail!$F$5:$F$30,MATCH("Cadre de porte double métal",Détail!$B$5:$B$30,0)),0)</f>
        <v/>
      </c>
      <c r="E43" s="7">
        <f>IFERROR(INDEX(Détail!$G$5:$G$30,MATCH("Cadre de porte double métal",Détail!$B$5:$B$30,0)),0)</f>
        <v/>
      </c>
      <c r="F43" s="7">
        <f>IFERROR(INDEX(Détail!$H$5:$H$30,MATCH("Cadre de porte double métal",Détail!$B$5:$B$30,0)),0)</f>
        <v/>
      </c>
      <c r="G43" s="7">
        <f>IFERROR(INDEX(Détail!$I$5:$I$30,MATCH("Cadre de porte double métal",Détail!$B$5:$B$30,0)),0)</f>
        <v/>
      </c>
      <c r="H43" s="7">
        <f>IFERROR(INDEX(Détail!$J$5:$J$30,MATCH("Cadre de porte double métal",Détail!$B$5:$B$30,0)),0)</f>
        <v/>
      </c>
      <c r="I43" s="7">
        <f>IFERROR(INDEX(Détail!$K$5:$K$30,MATCH("Cadre de porte double métal",Détail!$B$5:$B$30,0)),0)</f>
        <v/>
      </c>
      <c r="J43" s="7">
        <f>IFERROR(INDEX(Détail!$L$5:$L$30,MATCH("Cadre de porte double métal",Détail!$B$5:$B$30,0)),0)</f>
        <v/>
      </c>
      <c r="K43" s="7">
        <f>IFERROR(INDEX(Détail!$M$5:$M$30,MATCH("Cadre de porte double métal",Détail!$B$5:$B$30,0)),0)</f>
        <v/>
      </c>
      <c r="L43" s="7">
        <f>IFERROR(INDEX(Détail!$N$5:$N$30,MATCH("Cadre de porte double métal",Détail!$B$5:$B$30,0)),0)</f>
        <v/>
      </c>
      <c r="M43" s="7">
        <f>IFERROR(INDEX(Détail!$O$5:$O$30,MATCH("Cadre de porte double métal",Détail!$B$5:$B$30,0)),0)</f>
        <v/>
      </c>
      <c r="N43" s="7">
        <f>IFERROR(INDEX(Détail!$P$5:$P$30,MATCH("Cadre de porte double métal",Détail!$B$5:$B$30,0)),0)</f>
        <v/>
      </c>
      <c r="O43" s="7">
        <f>IFERROR(INDEX(Détail!$Q$5:$Q$30,MATCH("Cadre de porte double métal",Détail!$B$5:$B$30,0)),0)</f>
        <v/>
      </c>
      <c r="P43" s="7">
        <f>IFERROR(INDEX(Détail!$R$5:$R$30,MATCH("Cadre de porte double métal",Détail!$B$5:$B$30,0)),0)</f>
        <v/>
      </c>
      <c r="Q43" s="14">
        <f>$B43*C43</f>
        <v/>
      </c>
      <c r="R43" s="14">
        <f>$B43*D43</f>
        <v/>
      </c>
      <c r="S43" s="14">
        <f>$B43*E43</f>
        <v/>
      </c>
      <c r="T43" s="14">
        <f>$B43*F43</f>
        <v/>
      </c>
      <c r="U43" s="14">
        <f>$B43*G43</f>
        <v/>
      </c>
      <c r="V43" s="14">
        <f>$B43*H43</f>
        <v/>
      </c>
      <c r="W43" s="14">
        <f>$B43*I43</f>
        <v/>
      </c>
      <c r="X43" s="14">
        <f>$B43*J43</f>
        <v/>
      </c>
      <c r="Y43" s="14">
        <f>$B43*K43</f>
        <v/>
      </c>
      <c r="Z43" s="14">
        <f>$B43*L43</f>
        <v/>
      </c>
      <c r="AA43" s="14">
        <f>$B43*M43</f>
        <v/>
      </c>
      <c r="AB43" s="14">
        <f>$B43*N43</f>
        <v/>
      </c>
      <c r="AC43" s="14">
        <f>$B43*O43</f>
        <v/>
      </c>
      <c r="AD43" s="14">
        <f>$B43*P43</f>
        <v/>
      </c>
    </row>
    <row r="44">
      <c r="A44" s="6" t="inlineStr">
        <is>
          <t>Mur de chaume (gabarit de pose, à démolir)</t>
        </is>
      </c>
      <c r="B44" s="16" t="n">
        <v>14</v>
      </c>
      <c r="C44" s="7">
        <f>IFERROR(INDEX(Détail!$E$5:$E$30,MATCH("Mur de chaume (gabarit de pose, à démolir)",Détail!$B$5:$B$30,0)),0)</f>
        <v/>
      </c>
      <c r="D44" s="7">
        <f>IFERROR(INDEX(Détail!$F$5:$F$30,MATCH("Mur de chaume (gabarit de pose, à démolir)",Détail!$B$5:$B$30,0)),0)</f>
        <v/>
      </c>
      <c r="E44" s="7">
        <f>IFERROR(INDEX(Détail!$G$5:$G$30,MATCH("Mur de chaume (gabarit de pose, à démolir)",Détail!$B$5:$B$30,0)),0)</f>
        <v/>
      </c>
      <c r="F44" s="7">
        <f>IFERROR(INDEX(Détail!$H$5:$H$30,MATCH("Mur de chaume (gabarit de pose, à démolir)",Détail!$B$5:$B$30,0)),0)</f>
        <v/>
      </c>
      <c r="G44" s="7">
        <f>IFERROR(INDEX(Détail!$I$5:$I$30,MATCH("Mur de chaume (gabarit de pose, à démolir)",Détail!$B$5:$B$30,0)),0)</f>
        <v/>
      </c>
      <c r="H44" s="7">
        <f>IFERROR(INDEX(Détail!$J$5:$J$30,MATCH("Mur de chaume (gabarit de pose, à démolir)",Détail!$B$5:$B$30,0)),0)</f>
        <v/>
      </c>
      <c r="I44" s="7">
        <f>IFERROR(INDEX(Détail!$K$5:$K$30,MATCH("Mur de chaume (gabarit de pose, à démolir)",Détail!$B$5:$B$30,0)),0)</f>
        <v/>
      </c>
      <c r="J44" s="7">
        <f>IFERROR(INDEX(Détail!$L$5:$L$30,MATCH("Mur de chaume (gabarit de pose, à démolir)",Détail!$B$5:$B$30,0)),0)</f>
        <v/>
      </c>
      <c r="K44" s="7">
        <f>IFERROR(INDEX(Détail!$M$5:$M$30,MATCH("Mur de chaume (gabarit de pose, à démolir)",Détail!$B$5:$B$30,0)),0)</f>
        <v/>
      </c>
      <c r="L44" s="7">
        <f>IFERROR(INDEX(Détail!$N$5:$N$30,MATCH("Mur de chaume (gabarit de pose, à démolir)",Détail!$B$5:$B$30,0)),0)</f>
        <v/>
      </c>
      <c r="M44" s="7">
        <f>IFERROR(INDEX(Détail!$O$5:$O$30,MATCH("Mur de chaume (gabarit de pose, à démolir)",Détail!$B$5:$B$30,0)),0)</f>
        <v/>
      </c>
      <c r="N44" s="7">
        <f>IFERROR(INDEX(Détail!$P$5:$P$30,MATCH("Mur de chaume (gabarit de pose, à démolir)",Détail!$B$5:$B$30,0)),0)</f>
        <v/>
      </c>
      <c r="O44" s="7">
        <f>IFERROR(INDEX(Détail!$Q$5:$Q$30,MATCH("Mur de chaume (gabarit de pose, à démolir)",Détail!$B$5:$B$30,0)),0)</f>
        <v/>
      </c>
      <c r="P44" s="7">
        <f>IFERROR(INDEX(Détail!$R$5:$R$30,MATCH("Mur de chaume (gabarit de pose, à démolir)",Détail!$B$5:$B$30,0)),0)</f>
        <v/>
      </c>
      <c r="Q44" s="14">
        <f>$B44*C44</f>
        <v/>
      </c>
      <c r="R44" s="14">
        <f>$B44*D44</f>
        <v/>
      </c>
      <c r="S44" s="14">
        <f>$B44*E44</f>
        <v/>
      </c>
      <c r="T44" s="14">
        <f>$B44*F44</f>
        <v/>
      </c>
      <c r="U44" s="14">
        <f>$B44*G44</f>
        <v/>
      </c>
      <c r="V44" s="14">
        <f>$B44*H44</f>
        <v/>
      </c>
      <c r="W44" s="14">
        <f>$B44*I44</f>
        <v/>
      </c>
      <c r="X44" s="14">
        <f>$B44*J44</f>
        <v/>
      </c>
      <c r="Y44" s="14">
        <f>$B44*K44</f>
        <v/>
      </c>
      <c r="Z44" s="14">
        <f>$B44*L44</f>
        <v/>
      </c>
      <c r="AA44" s="14">
        <f>$B44*M44</f>
        <v/>
      </c>
      <c r="AB44" s="14">
        <f>$B44*N44</f>
        <v/>
      </c>
      <c r="AC44" s="14">
        <f>$B44*O44</f>
        <v/>
      </c>
      <c r="AD44" s="14">
        <f>$B44*P44</f>
        <v/>
      </c>
    </row>
    <row r="45">
      <c r="A45" s="6" t="inlineStr">
        <is>
          <t>Escalier métal</t>
        </is>
      </c>
      <c r="B45" s="16" t="n">
        <v>6</v>
      </c>
      <c r="C45" s="7">
        <f>IFERROR(INDEX(Détail!$E$5:$E$30,MATCH("Escalier métal",Détail!$B$5:$B$30,0)),0)</f>
        <v/>
      </c>
      <c r="D45" s="7">
        <f>IFERROR(INDEX(Détail!$F$5:$F$30,MATCH("Escalier métal",Détail!$B$5:$B$30,0)),0)</f>
        <v/>
      </c>
      <c r="E45" s="7">
        <f>IFERROR(INDEX(Détail!$G$5:$G$30,MATCH("Escalier métal",Détail!$B$5:$B$30,0)),0)</f>
        <v/>
      </c>
      <c r="F45" s="7">
        <f>IFERROR(INDEX(Détail!$H$5:$H$30,MATCH("Escalier métal",Détail!$B$5:$B$30,0)),0)</f>
        <v/>
      </c>
      <c r="G45" s="7">
        <f>IFERROR(INDEX(Détail!$I$5:$I$30,MATCH("Escalier métal",Détail!$B$5:$B$30,0)),0)</f>
        <v/>
      </c>
      <c r="H45" s="7">
        <f>IFERROR(INDEX(Détail!$J$5:$J$30,MATCH("Escalier métal",Détail!$B$5:$B$30,0)),0)</f>
        <v/>
      </c>
      <c r="I45" s="7">
        <f>IFERROR(INDEX(Détail!$K$5:$K$30,MATCH("Escalier métal",Détail!$B$5:$B$30,0)),0)</f>
        <v/>
      </c>
      <c r="J45" s="7">
        <f>IFERROR(INDEX(Détail!$L$5:$L$30,MATCH("Escalier métal",Détail!$B$5:$B$30,0)),0)</f>
        <v/>
      </c>
      <c r="K45" s="7">
        <f>IFERROR(INDEX(Détail!$M$5:$M$30,MATCH("Escalier métal",Détail!$B$5:$B$30,0)),0)</f>
        <v/>
      </c>
      <c r="L45" s="7">
        <f>IFERROR(INDEX(Détail!$N$5:$N$30,MATCH("Escalier métal",Détail!$B$5:$B$30,0)),0)</f>
        <v/>
      </c>
      <c r="M45" s="7">
        <f>IFERROR(INDEX(Détail!$O$5:$O$30,MATCH("Escalier métal",Détail!$B$5:$B$30,0)),0)</f>
        <v/>
      </c>
      <c r="N45" s="7">
        <f>IFERROR(INDEX(Détail!$P$5:$P$30,MATCH("Escalier métal",Détail!$B$5:$B$30,0)),0)</f>
        <v/>
      </c>
      <c r="O45" s="7">
        <f>IFERROR(INDEX(Détail!$Q$5:$Q$30,MATCH("Escalier métal",Détail!$B$5:$B$30,0)),0)</f>
        <v/>
      </c>
      <c r="P45" s="7">
        <f>IFERROR(INDEX(Détail!$R$5:$R$30,MATCH("Escalier métal",Détail!$B$5:$B$30,0)),0)</f>
        <v/>
      </c>
      <c r="Q45" s="14">
        <f>$B45*C45</f>
        <v/>
      </c>
      <c r="R45" s="14">
        <f>$B45*D45</f>
        <v/>
      </c>
      <c r="S45" s="14">
        <f>$B45*E45</f>
        <v/>
      </c>
      <c r="T45" s="14">
        <f>$B45*F45</f>
        <v/>
      </c>
      <c r="U45" s="14">
        <f>$B45*G45</f>
        <v/>
      </c>
      <c r="V45" s="14">
        <f>$B45*H45</f>
        <v/>
      </c>
      <c r="W45" s="14">
        <f>$B45*I45</f>
        <v/>
      </c>
      <c r="X45" s="14">
        <f>$B45*J45</f>
        <v/>
      </c>
      <c r="Y45" s="14">
        <f>$B45*K45</f>
        <v/>
      </c>
      <c r="Z45" s="14">
        <f>$B45*L45</f>
        <v/>
      </c>
      <c r="AA45" s="14">
        <f>$B45*M45</f>
        <v/>
      </c>
      <c r="AB45" s="14">
        <f>$B45*N45</f>
        <v/>
      </c>
      <c r="AC45" s="14">
        <f>$B45*O45</f>
        <v/>
      </c>
      <c r="AD45" s="14">
        <f>$B45*P45</f>
        <v/>
      </c>
    </row>
    <row r="46">
      <c r="A46" s="8" t="inlineStr">
        <is>
          <t>Total</t>
        </is>
      </c>
      <c r="B46" s="9">
        <f>SUM(B39:B45)</f>
        <v/>
      </c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9">
        <f>SUM(Q39:Q45)</f>
        <v/>
      </c>
      <c r="R46" s="9">
        <f>SUM(R39:R45)</f>
        <v/>
      </c>
      <c r="S46" s="9">
        <f>SUM(S39:S45)</f>
        <v/>
      </c>
      <c r="T46" s="9">
        <f>SUM(T39:T45)</f>
        <v/>
      </c>
      <c r="U46" s="9">
        <f>SUM(U39:U45)</f>
        <v/>
      </c>
      <c r="V46" s="9">
        <f>SUM(V39:V45)</f>
        <v/>
      </c>
      <c r="W46" s="9">
        <f>SUM(W39:W45)</f>
        <v/>
      </c>
      <c r="X46" s="9">
        <f>SUM(X39:X45)</f>
        <v/>
      </c>
      <c r="Y46" s="9">
        <f>SUM(Y39:Y45)</f>
        <v/>
      </c>
      <c r="Z46" s="9">
        <f>SUM(Z39:Z45)</f>
        <v/>
      </c>
      <c r="AA46" s="9">
        <f>SUM(AA39:AA45)</f>
        <v/>
      </c>
      <c r="AB46" s="9">
        <f>SUM(AB39:AB45)</f>
        <v/>
      </c>
      <c r="AC46" s="9">
        <f>SUM(AC39:AC45)</f>
        <v/>
      </c>
      <c r="AD46" s="9">
        <f>SUM(AD39:AD45)</f>
        <v/>
      </c>
    </row>
    <row r="47">
      <c r="A47" s="8" t="inlineStr">
        <is>
          <t>À fabriquer (hors tourelles)</t>
        </is>
      </c>
      <c r="B47" s="9">
        <f>SUM(B39:B45)-SUMIF(A39:A45,"* (inventaire)",B39:B45)</f>
        <v/>
      </c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9">
        <f>SUM(Q39:Q45)-SUMIF(A39:A45,"* (inventaire)",Q39:Q45)</f>
        <v/>
      </c>
      <c r="R47" s="9">
        <f>SUM(R39:R45)-SUMIF(A39:A45,"* (inventaire)",R39:R45)</f>
        <v/>
      </c>
      <c r="S47" s="9">
        <f>SUM(S39:S45)-SUMIF(A39:A45,"* (inventaire)",S39:S45)</f>
        <v/>
      </c>
      <c r="T47" s="9">
        <f>SUM(T39:T45)-SUMIF(A39:A45,"* (inventaire)",T39:T45)</f>
        <v/>
      </c>
      <c r="U47" s="9">
        <f>SUM(U39:U45)-SUMIF(A39:A45,"* (inventaire)",U39:U45)</f>
        <v/>
      </c>
      <c r="V47" s="9">
        <f>SUM(V39:V45)-SUMIF(A39:A45,"* (inventaire)",V39:V45)</f>
        <v/>
      </c>
      <c r="W47" s="9">
        <f>SUM(W39:W45)-SUMIF(A39:A45,"* (inventaire)",W39:W45)</f>
        <v/>
      </c>
      <c r="X47" s="9">
        <f>SUM(X39:X45)-SUMIF(A39:A45,"* (inventaire)",X39:X45)</f>
        <v/>
      </c>
      <c r="Y47" s="9">
        <f>SUM(Y39:Y45)-SUMIF(A39:A45,"* (inventaire)",Y39:Y45)</f>
        <v/>
      </c>
      <c r="Z47" s="9">
        <f>SUM(Z39:Z45)-SUMIF(A39:A45,"* (inventaire)",Z39:Z45)</f>
        <v/>
      </c>
      <c r="AA47" s="9">
        <f>SUM(AA39:AA45)-SUMIF(A39:A45,"* (inventaire)",AA39:AA45)</f>
        <v/>
      </c>
      <c r="AB47" s="9">
        <f>SUM(AB39:AB45)-SUMIF(A39:A45,"* (inventaire)",AB39:AB45)</f>
        <v/>
      </c>
      <c r="AC47" s="9">
        <f>SUM(AC39:AC45)-SUMIF(A39:A45,"* (inventaire)",AC39:AC45)</f>
        <v/>
      </c>
      <c r="AD47" s="9">
        <f>SUM(AD39:AD45)-SUMIF(A39:A45,"* (inventaire)",AD39:AD45)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</row>
    <row r="49">
      <c r="A49" s="15" t="inlineStr">
        <is>
          <t>Plan 06 D5-D4 cage et appentis</t>
        </is>
      </c>
      <c r="B49" s="2" t="n"/>
      <c r="C49" s="3" t="inlineStr">
        <is>
          <t>1046 entrées dans le template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</row>
    <row r="50" ht="30" customHeight="1">
      <c r="A50" s="11" t="inlineStr">
        <is>
          <t>Pièce</t>
        </is>
      </c>
      <c r="B50" s="11" t="inlineStr">
        <is>
          <t>Nombre</t>
        </is>
      </c>
      <c r="C50" s="11" t="inlineStr">
        <is>
          <t>Lingots de métal / u</t>
        </is>
      </c>
      <c r="D50" s="11" t="inlineStr">
        <is>
          <t>Pâte cimentée / u</t>
        </is>
      </c>
      <c r="E50" s="11" t="inlineStr">
        <is>
          <t>Électroniques / u</t>
        </is>
      </c>
      <c r="F50" s="11" t="inlineStr">
        <is>
          <t>Polymère / u</t>
        </is>
      </c>
      <c r="G50" s="11" t="inlineStr">
        <is>
          <t>Cristal / u</t>
        </is>
      </c>
      <c r="H50" s="11" t="inlineStr">
        <is>
          <t>Élément / u</t>
        </is>
      </c>
      <c r="I50" s="11" t="inlineStr">
        <is>
          <t>Perles noires / u</t>
        </is>
      </c>
      <c r="J50" s="11" t="inlineStr">
        <is>
          <t>Huile / u</t>
        </is>
      </c>
      <c r="K50" s="11" t="inlineStr">
        <is>
          <t>Poudre étincelante / u</t>
        </is>
      </c>
      <c r="L50" s="11" t="inlineStr">
        <is>
          <t>Cuir / u</t>
        </is>
      </c>
      <c r="M50" s="11" t="inlineStr">
        <is>
          <t>Fibre / u</t>
        </is>
      </c>
      <c r="N50" s="11" t="inlineStr">
        <is>
          <t>Chaume / u</t>
        </is>
      </c>
      <c r="O50" s="11" t="inlineStr">
        <is>
          <t>Bois / u</t>
        </is>
      </c>
      <c r="P50" s="11" t="inlineStr">
        <is>
          <t>Pierre / u</t>
        </is>
      </c>
      <c r="Q50" s="11" t="inlineStr">
        <is>
          <t>Lingots de métal total</t>
        </is>
      </c>
      <c r="R50" s="11" t="inlineStr">
        <is>
          <t>Pâte cimentée total</t>
        </is>
      </c>
      <c r="S50" s="11" t="inlineStr">
        <is>
          <t>Électroniques total</t>
        </is>
      </c>
      <c r="T50" s="11" t="inlineStr">
        <is>
          <t>Polymère total</t>
        </is>
      </c>
      <c r="U50" s="11" t="inlineStr">
        <is>
          <t>Cristal total</t>
        </is>
      </c>
      <c r="V50" s="11" t="inlineStr">
        <is>
          <t>Élément total</t>
        </is>
      </c>
      <c r="W50" s="11" t="inlineStr">
        <is>
          <t>Perles noires total</t>
        </is>
      </c>
      <c r="X50" s="11" t="inlineStr">
        <is>
          <t>Huile total</t>
        </is>
      </c>
      <c r="Y50" s="11" t="inlineStr">
        <is>
          <t>Poudre étincelante total</t>
        </is>
      </c>
      <c r="Z50" s="11" t="inlineStr">
        <is>
          <t>Cuir total</t>
        </is>
      </c>
      <c r="AA50" s="11" t="inlineStr">
        <is>
          <t>Fibre total</t>
        </is>
      </c>
      <c r="AB50" s="11" t="inlineStr">
        <is>
          <t>Chaume total</t>
        </is>
      </c>
      <c r="AC50" s="11" t="inlineStr">
        <is>
          <t>Bois total</t>
        </is>
      </c>
      <c r="AD50" s="11" t="inlineStr">
        <is>
          <t>Pierre total</t>
        </is>
      </c>
    </row>
    <row r="51">
      <c r="A51" s="6" t="inlineStr">
        <is>
          <t>Cadre de porte double métal</t>
        </is>
      </c>
      <c r="B51" s="16" t="n">
        <v>427</v>
      </c>
      <c r="C51" s="7">
        <f>IFERROR(INDEX(Détail!$E$5:$E$30,MATCH("Cadre de porte double métal",Détail!$B$5:$B$30,0)),0)</f>
        <v/>
      </c>
      <c r="D51" s="7">
        <f>IFERROR(INDEX(Détail!$F$5:$F$30,MATCH("Cadre de porte double métal",Détail!$B$5:$B$30,0)),0)</f>
        <v/>
      </c>
      <c r="E51" s="7">
        <f>IFERROR(INDEX(Détail!$G$5:$G$30,MATCH("Cadre de porte double métal",Détail!$B$5:$B$30,0)),0)</f>
        <v/>
      </c>
      <c r="F51" s="7">
        <f>IFERROR(INDEX(Détail!$H$5:$H$30,MATCH("Cadre de porte double métal",Détail!$B$5:$B$30,0)),0)</f>
        <v/>
      </c>
      <c r="G51" s="7">
        <f>IFERROR(INDEX(Détail!$I$5:$I$30,MATCH("Cadre de porte double métal",Détail!$B$5:$B$30,0)),0)</f>
        <v/>
      </c>
      <c r="H51" s="7">
        <f>IFERROR(INDEX(Détail!$J$5:$J$30,MATCH("Cadre de porte double métal",Détail!$B$5:$B$30,0)),0)</f>
        <v/>
      </c>
      <c r="I51" s="7">
        <f>IFERROR(INDEX(Détail!$K$5:$K$30,MATCH("Cadre de porte double métal",Détail!$B$5:$B$30,0)),0)</f>
        <v/>
      </c>
      <c r="J51" s="7">
        <f>IFERROR(INDEX(Détail!$L$5:$L$30,MATCH("Cadre de porte double métal",Détail!$B$5:$B$30,0)),0)</f>
        <v/>
      </c>
      <c r="K51" s="7">
        <f>IFERROR(INDEX(Détail!$M$5:$M$30,MATCH("Cadre de porte double métal",Détail!$B$5:$B$30,0)),0)</f>
        <v/>
      </c>
      <c r="L51" s="7">
        <f>IFERROR(INDEX(Détail!$N$5:$N$30,MATCH("Cadre de porte double métal",Détail!$B$5:$B$30,0)),0)</f>
        <v/>
      </c>
      <c r="M51" s="7">
        <f>IFERROR(INDEX(Détail!$O$5:$O$30,MATCH("Cadre de porte double métal",Détail!$B$5:$B$30,0)),0)</f>
        <v/>
      </c>
      <c r="N51" s="7">
        <f>IFERROR(INDEX(Détail!$P$5:$P$30,MATCH("Cadre de porte double métal",Détail!$B$5:$B$30,0)),0)</f>
        <v/>
      </c>
      <c r="O51" s="7">
        <f>IFERROR(INDEX(Détail!$Q$5:$Q$30,MATCH("Cadre de porte double métal",Détail!$B$5:$B$30,0)),0)</f>
        <v/>
      </c>
      <c r="P51" s="7">
        <f>IFERROR(INDEX(Détail!$R$5:$R$30,MATCH("Cadre de porte double métal",Détail!$B$5:$B$30,0)),0)</f>
        <v/>
      </c>
      <c r="Q51" s="14">
        <f>$B51*C51</f>
        <v/>
      </c>
      <c r="R51" s="14">
        <f>$B51*D51</f>
        <v/>
      </c>
      <c r="S51" s="14">
        <f>$B51*E51</f>
        <v/>
      </c>
      <c r="T51" s="14">
        <f>$B51*F51</f>
        <v/>
      </c>
      <c r="U51" s="14">
        <f>$B51*G51</f>
        <v/>
      </c>
      <c r="V51" s="14">
        <f>$B51*H51</f>
        <v/>
      </c>
      <c r="W51" s="14">
        <f>$B51*I51</f>
        <v/>
      </c>
      <c r="X51" s="14">
        <f>$B51*J51</f>
        <v/>
      </c>
      <c r="Y51" s="14">
        <f>$B51*K51</f>
        <v/>
      </c>
      <c r="Z51" s="14">
        <f>$B51*L51</f>
        <v/>
      </c>
      <c r="AA51" s="14">
        <f>$B51*M51</f>
        <v/>
      </c>
      <c r="AB51" s="14">
        <f>$B51*N51</f>
        <v/>
      </c>
      <c r="AC51" s="14">
        <f>$B51*O51</f>
        <v/>
      </c>
      <c r="AD51" s="14">
        <f>$B51*P51</f>
        <v/>
      </c>
    </row>
    <row r="52">
      <c r="A52" s="6" t="inlineStr">
        <is>
          <t>Plafond triangle métal</t>
        </is>
      </c>
      <c r="B52" s="16" t="n">
        <v>285</v>
      </c>
      <c r="C52" s="7">
        <f>IFERROR(INDEX(Détail!$E$5:$E$30,MATCH("Plafond triangle métal",Détail!$B$5:$B$30,0)),0)</f>
        <v/>
      </c>
      <c r="D52" s="7">
        <f>IFERROR(INDEX(Détail!$F$5:$F$30,MATCH("Plafond triangle métal",Détail!$B$5:$B$30,0)),0)</f>
        <v/>
      </c>
      <c r="E52" s="7">
        <f>IFERROR(INDEX(Détail!$G$5:$G$30,MATCH("Plafond triangle métal",Détail!$B$5:$B$30,0)),0)</f>
        <v/>
      </c>
      <c r="F52" s="7">
        <f>IFERROR(INDEX(Détail!$H$5:$H$30,MATCH("Plafond triangle métal",Détail!$B$5:$B$30,0)),0)</f>
        <v/>
      </c>
      <c r="G52" s="7">
        <f>IFERROR(INDEX(Détail!$I$5:$I$30,MATCH("Plafond triangle métal",Détail!$B$5:$B$30,0)),0)</f>
        <v/>
      </c>
      <c r="H52" s="7">
        <f>IFERROR(INDEX(Détail!$J$5:$J$30,MATCH("Plafond triangle métal",Détail!$B$5:$B$30,0)),0)</f>
        <v/>
      </c>
      <c r="I52" s="7">
        <f>IFERROR(INDEX(Détail!$K$5:$K$30,MATCH("Plafond triangle métal",Détail!$B$5:$B$30,0)),0)</f>
        <v/>
      </c>
      <c r="J52" s="7">
        <f>IFERROR(INDEX(Détail!$L$5:$L$30,MATCH("Plafond triangle métal",Détail!$B$5:$B$30,0)),0)</f>
        <v/>
      </c>
      <c r="K52" s="7">
        <f>IFERROR(INDEX(Détail!$M$5:$M$30,MATCH("Plafond triangle métal",Détail!$B$5:$B$30,0)),0)</f>
        <v/>
      </c>
      <c r="L52" s="7">
        <f>IFERROR(INDEX(Détail!$N$5:$N$30,MATCH("Plafond triangle métal",Détail!$B$5:$B$30,0)),0)</f>
        <v/>
      </c>
      <c r="M52" s="7">
        <f>IFERROR(INDEX(Détail!$O$5:$O$30,MATCH("Plafond triangle métal",Détail!$B$5:$B$30,0)),0)</f>
        <v/>
      </c>
      <c r="N52" s="7">
        <f>IFERROR(INDEX(Détail!$P$5:$P$30,MATCH("Plafond triangle métal",Détail!$B$5:$B$30,0)),0)</f>
        <v/>
      </c>
      <c r="O52" s="7">
        <f>IFERROR(INDEX(Détail!$Q$5:$Q$30,MATCH("Plafond triangle métal",Détail!$B$5:$B$30,0)),0)</f>
        <v/>
      </c>
      <c r="P52" s="7">
        <f>IFERROR(INDEX(Détail!$R$5:$R$30,MATCH("Plafond triangle métal",Détail!$B$5:$B$30,0)),0)</f>
        <v/>
      </c>
      <c r="Q52" s="14">
        <f>$B52*C52</f>
        <v/>
      </c>
      <c r="R52" s="14">
        <f>$B52*D52</f>
        <v/>
      </c>
      <c r="S52" s="14">
        <f>$B52*E52</f>
        <v/>
      </c>
      <c r="T52" s="14">
        <f>$B52*F52</f>
        <v/>
      </c>
      <c r="U52" s="14">
        <f>$B52*G52</f>
        <v/>
      </c>
      <c r="V52" s="14">
        <f>$B52*H52</f>
        <v/>
      </c>
      <c r="W52" s="14">
        <f>$B52*I52</f>
        <v/>
      </c>
      <c r="X52" s="14">
        <f>$B52*J52</f>
        <v/>
      </c>
      <c r="Y52" s="14">
        <f>$B52*K52</f>
        <v/>
      </c>
      <c r="Z52" s="14">
        <f>$B52*L52</f>
        <v/>
      </c>
      <c r="AA52" s="14">
        <f>$B52*M52</f>
        <v/>
      </c>
      <c r="AB52" s="14">
        <f>$B52*N52</f>
        <v/>
      </c>
      <c r="AC52" s="14">
        <f>$B52*O52</f>
        <v/>
      </c>
      <c r="AD52" s="14">
        <f>$B52*P52</f>
        <v/>
      </c>
    </row>
    <row r="53">
      <c r="A53" s="6" t="inlineStr">
        <is>
          <t>Plafond métal</t>
        </is>
      </c>
      <c r="B53" s="16" t="n">
        <v>136</v>
      </c>
      <c r="C53" s="7">
        <f>IFERROR(INDEX(Détail!$E$5:$E$30,MATCH("Plafond métal",Détail!$B$5:$B$30,0)),0)</f>
        <v/>
      </c>
      <c r="D53" s="7">
        <f>IFERROR(INDEX(Détail!$F$5:$F$30,MATCH("Plafond métal",Détail!$B$5:$B$30,0)),0)</f>
        <v/>
      </c>
      <c r="E53" s="7">
        <f>IFERROR(INDEX(Détail!$G$5:$G$30,MATCH("Plafond métal",Détail!$B$5:$B$30,0)),0)</f>
        <v/>
      </c>
      <c r="F53" s="7">
        <f>IFERROR(INDEX(Détail!$H$5:$H$30,MATCH("Plafond métal",Détail!$B$5:$B$30,0)),0)</f>
        <v/>
      </c>
      <c r="G53" s="7">
        <f>IFERROR(INDEX(Détail!$I$5:$I$30,MATCH("Plafond métal",Détail!$B$5:$B$30,0)),0)</f>
        <v/>
      </c>
      <c r="H53" s="7">
        <f>IFERROR(INDEX(Détail!$J$5:$J$30,MATCH("Plafond métal",Détail!$B$5:$B$30,0)),0)</f>
        <v/>
      </c>
      <c r="I53" s="7">
        <f>IFERROR(INDEX(Détail!$K$5:$K$30,MATCH("Plafond métal",Détail!$B$5:$B$30,0)),0)</f>
        <v/>
      </c>
      <c r="J53" s="7">
        <f>IFERROR(INDEX(Détail!$L$5:$L$30,MATCH("Plafond métal",Détail!$B$5:$B$30,0)),0)</f>
        <v/>
      </c>
      <c r="K53" s="7">
        <f>IFERROR(INDEX(Détail!$M$5:$M$30,MATCH("Plafond métal",Détail!$B$5:$B$30,0)),0)</f>
        <v/>
      </c>
      <c r="L53" s="7">
        <f>IFERROR(INDEX(Détail!$N$5:$N$30,MATCH("Plafond métal",Détail!$B$5:$B$30,0)),0)</f>
        <v/>
      </c>
      <c r="M53" s="7">
        <f>IFERROR(INDEX(Détail!$O$5:$O$30,MATCH("Plafond métal",Détail!$B$5:$B$30,0)),0)</f>
        <v/>
      </c>
      <c r="N53" s="7">
        <f>IFERROR(INDEX(Détail!$P$5:$P$30,MATCH("Plafond métal",Détail!$B$5:$B$30,0)),0)</f>
        <v/>
      </c>
      <c r="O53" s="7">
        <f>IFERROR(INDEX(Détail!$Q$5:$Q$30,MATCH("Plafond métal",Détail!$B$5:$B$30,0)),0)</f>
        <v/>
      </c>
      <c r="P53" s="7">
        <f>IFERROR(INDEX(Détail!$R$5:$R$30,MATCH("Plafond métal",Détail!$B$5:$B$30,0)),0)</f>
        <v/>
      </c>
      <c r="Q53" s="14">
        <f>$B53*C53</f>
        <v/>
      </c>
      <c r="R53" s="14">
        <f>$B53*D53</f>
        <v/>
      </c>
      <c r="S53" s="14">
        <f>$B53*E53</f>
        <v/>
      </c>
      <c r="T53" s="14">
        <f>$B53*F53</f>
        <v/>
      </c>
      <c r="U53" s="14">
        <f>$B53*G53</f>
        <v/>
      </c>
      <c r="V53" s="14">
        <f>$B53*H53</f>
        <v/>
      </c>
      <c r="W53" s="14">
        <f>$B53*I53</f>
        <v/>
      </c>
      <c r="X53" s="14">
        <f>$B53*J53</f>
        <v/>
      </c>
      <c r="Y53" s="14">
        <f>$B53*K53</f>
        <v/>
      </c>
      <c r="Z53" s="14">
        <f>$B53*L53</f>
        <v/>
      </c>
      <c r="AA53" s="14">
        <f>$B53*M53</f>
        <v/>
      </c>
      <c r="AB53" s="14">
        <f>$B53*N53</f>
        <v/>
      </c>
      <c r="AC53" s="14">
        <f>$B53*O53</f>
        <v/>
      </c>
      <c r="AD53" s="14">
        <f>$B53*P53</f>
        <v/>
      </c>
    </row>
    <row r="54">
      <c r="A54" s="6" t="inlineStr">
        <is>
          <t>Rampe inclinée métal (Sloped Railing)</t>
        </is>
      </c>
      <c r="B54" s="16" t="n">
        <v>110</v>
      </c>
      <c r="C54" s="7">
        <f>IFERROR(INDEX(Détail!$E$5:$E$30,MATCH("Rampe inclinée métal (Sloped Railing)",Détail!$B$5:$B$30,0)),0)</f>
        <v/>
      </c>
      <c r="D54" s="7">
        <f>IFERROR(INDEX(Détail!$F$5:$F$30,MATCH("Rampe inclinée métal (Sloped Railing)",Détail!$B$5:$B$30,0)),0)</f>
        <v/>
      </c>
      <c r="E54" s="7">
        <f>IFERROR(INDEX(Détail!$G$5:$G$30,MATCH("Rampe inclinée métal (Sloped Railing)",Détail!$B$5:$B$30,0)),0)</f>
        <v/>
      </c>
      <c r="F54" s="7">
        <f>IFERROR(INDEX(Détail!$H$5:$H$30,MATCH("Rampe inclinée métal (Sloped Railing)",Détail!$B$5:$B$30,0)),0)</f>
        <v/>
      </c>
      <c r="G54" s="7">
        <f>IFERROR(INDEX(Détail!$I$5:$I$30,MATCH("Rampe inclinée métal (Sloped Railing)",Détail!$B$5:$B$30,0)),0)</f>
        <v/>
      </c>
      <c r="H54" s="7">
        <f>IFERROR(INDEX(Détail!$J$5:$J$30,MATCH("Rampe inclinée métal (Sloped Railing)",Détail!$B$5:$B$30,0)),0)</f>
        <v/>
      </c>
      <c r="I54" s="7">
        <f>IFERROR(INDEX(Détail!$K$5:$K$30,MATCH("Rampe inclinée métal (Sloped Railing)",Détail!$B$5:$B$30,0)),0)</f>
        <v/>
      </c>
      <c r="J54" s="7">
        <f>IFERROR(INDEX(Détail!$L$5:$L$30,MATCH("Rampe inclinée métal (Sloped Railing)",Détail!$B$5:$B$30,0)),0)</f>
        <v/>
      </c>
      <c r="K54" s="7">
        <f>IFERROR(INDEX(Détail!$M$5:$M$30,MATCH("Rampe inclinée métal (Sloped Railing)",Détail!$B$5:$B$30,0)),0)</f>
        <v/>
      </c>
      <c r="L54" s="7">
        <f>IFERROR(INDEX(Détail!$N$5:$N$30,MATCH("Rampe inclinée métal (Sloped Railing)",Détail!$B$5:$B$30,0)),0)</f>
        <v/>
      </c>
      <c r="M54" s="7">
        <f>IFERROR(INDEX(Détail!$O$5:$O$30,MATCH("Rampe inclinée métal (Sloped Railing)",Détail!$B$5:$B$30,0)),0)</f>
        <v/>
      </c>
      <c r="N54" s="7">
        <f>IFERROR(INDEX(Détail!$P$5:$P$30,MATCH("Rampe inclinée métal (Sloped Railing)",Détail!$B$5:$B$30,0)),0)</f>
        <v/>
      </c>
      <c r="O54" s="7">
        <f>IFERROR(INDEX(Détail!$Q$5:$Q$30,MATCH("Rampe inclinée métal (Sloped Railing)",Détail!$B$5:$B$30,0)),0)</f>
        <v/>
      </c>
      <c r="P54" s="7">
        <f>IFERROR(INDEX(Détail!$R$5:$R$30,MATCH("Rampe inclinée métal (Sloped Railing)",Détail!$B$5:$B$30,0)),0)</f>
        <v/>
      </c>
      <c r="Q54" s="14">
        <f>$B54*C54</f>
        <v/>
      </c>
      <c r="R54" s="14">
        <f>$B54*D54</f>
        <v/>
      </c>
      <c r="S54" s="14">
        <f>$B54*E54</f>
        <v/>
      </c>
      <c r="T54" s="14">
        <f>$B54*F54</f>
        <v/>
      </c>
      <c r="U54" s="14">
        <f>$B54*G54</f>
        <v/>
      </c>
      <c r="V54" s="14">
        <f>$B54*H54</f>
        <v/>
      </c>
      <c r="W54" s="14">
        <f>$B54*I54</f>
        <v/>
      </c>
      <c r="X54" s="14">
        <f>$B54*J54</f>
        <v/>
      </c>
      <c r="Y54" s="14">
        <f>$B54*K54</f>
        <v/>
      </c>
      <c r="Z54" s="14">
        <f>$B54*L54</f>
        <v/>
      </c>
      <c r="AA54" s="14">
        <f>$B54*M54</f>
        <v/>
      </c>
      <c r="AB54" s="14">
        <f>$B54*N54</f>
        <v/>
      </c>
      <c r="AC54" s="14">
        <f>$B54*O54</f>
        <v/>
      </c>
      <c r="AD54" s="14">
        <f>$B54*P54</f>
        <v/>
      </c>
    </row>
    <row r="55">
      <c r="A55" s="6" t="inlineStr">
        <is>
          <t>Pilier fin métal (Thin Pillar)</t>
        </is>
      </c>
      <c r="B55" s="16" t="n">
        <v>53</v>
      </c>
      <c r="C55" s="7">
        <f>IFERROR(INDEX(Détail!$E$5:$E$30,MATCH("Pilier fin métal (Thin Pillar)",Détail!$B$5:$B$30,0)),0)</f>
        <v/>
      </c>
      <c r="D55" s="7">
        <f>IFERROR(INDEX(Détail!$F$5:$F$30,MATCH("Pilier fin métal (Thin Pillar)",Détail!$B$5:$B$30,0)),0)</f>
        <v/>
      </c>
      <c r="E55" s="7">
        <f>IFERROR(INDEX(Détail!$G$5:$G$30,MATCH("Pilier fin métal (Thin Pillar)",Détail!$B$5:$B$30,0)),0)</f>
        <v/>
      </c>
      <c r="F55" s="7">
        <f>IFERROR(INDEX(Détail!$H$5:$H$30,MATCH("Pilier fin métal (Thin Pillar)",Détail!$B$5:$B$30,0)),0)</f>
        <v/>
      </c>
      <c r="G55" s="7">
        <f>IFERROR(INDEX(Détail!$I$5:$I$30,MATCH("Pilier fin métal (Thin Pillar)",Détail!$B$5:$B$30,0)),0)</f>
        <v/>
      </c>
      <c r="H55" s="7">
        <f>IFERROR(INDEX(Détail!$J$5:$J$30,MATCH("Pilier fin métal (Thin Pillar)",Détail!$B$5:$B$30,0)),0)</f>
        <v/>
      </c>
      <c r="I55" s="7">
        <f>IFERROR(INDEX(Détail!$K$5:$K$30,MATCH("Pilier fin métal (Thin Pillar)",Détail!$B$5:$B$30,0)),0)</f>
        <v/>
      </c>
      <c r="J55" s="7">
        <f>IFERROR(INDEX(Détail!$L$5:$L$30,MATCH("Pilier fin métal (Thin Pillar)",Détail!$B$5:$B$30,0)),0)</f>
        <v/>
      </c>
      <c r="K55" s="7">
        <f>IFERROR(INDEX(Détail!$M$5:$M$30,MATCH("Pilier fin métal (Thin Pillar)",Détail!$B$5:$B$30,0)),0)</f>
        <v/>
      </c>
      <c r="L55" s="7">
        <f>IFERROR(INDEX(Détail!$N$5:$N$30,MATCH("Pilier fin métal (Thin Pillar)",Détail!$B$5:$B$30,0)),0)</f>
        <v/>
      </c>
      <c r="M55" s="7">
        <f>IFERROR(INDEX(Détail!$O$5:$O$30,MATCH("Pilier fin métal (Thin Pillar)",Détail!$B$5:$B$30,0)),0)</f>
        <v/>
      </c>
      <c r="N55" s="7">
        <f>IFERROR(INDEX(Détail!$P$5:$P$30,MATCH("Pilier fin métal (Thin Pillar)",Détail!$B$5:$B$30,0)),0)</f>
        <v/>
      </c>
      <c r="O55" s="7">
        <f>IFERROR(INDEX(Détail!$Q$5:$Q$30,MATCH("Pilier fin métal (Thin Pillar)",Détail!$B$5:$B$30,0)),0)</f>
        <v/>
      </c>
      <c r="P55" s="7">
        <f>IFERROR(INDEX(Détail!$R$5:$R$30,MATCH("Pilier fin métal (Thin Pillar)",Détail!$B$5:$B$30,0)),0)</f>
        <v/>
      </c>
      <c r="Q55" s="14">
        <f>$B55*C55</f>
        <v/>
      </c>
      <c r="R55" s="14">
        <f>$B55*D55</f>
        <v/>
      </c>
      <c r="S55" s="14">
        <f>$B55*E55</f>
        <v/>
      </c>
      <c r="T55" s="14">
        <f>$B55*F55</f>
        <v/>
      </c>
      <c r="U55" s="14">
        <f>$B55*G55</f>
        <v/>
      </c>
      <c r="V55" s="14">
        <f>$B55*H55</f>
        <v/>
      </c>
      <c r="W55" s="14">
        <f>$B55*I55</f>
        <v/>
      </c>
      <c r="X55" s="14">
        <f>$B55*J55</f>
        <v/>
      </c>
      <c r="Y55" s="14">
        <f>$B55*K55</f>
        <v/>
      </c>
      <c r="Z55" s="14">
        <f>$B55*L55</f>
        <v/>
      </c>
      <c r="AA55" s="14">
        <f>$B55*M55</f>
        <v/>
      </c>
      <c r="AB55" s="14">
        <f>$B55*N55</f>
        <v/>
      </c>
      <c r="AC55" s="14">
        <f>$B55*O55</f>
        <v/>
      </c>
      <c r="AD55" s="14">
        <f>$B55*P55</f>
        <v/>
      </c>
    </row>
    <row r="56">
      <c r="A56" s="6" t="inlineStr">
        <is>
          <t>Mur de chaume (gabarit de pose, à démolir)</t>
        </is>
      </c>
      <c r="B56" s="16" t="n">
        <v>29</v>
      </c>
      <c r="C56" s="7">
        <f>IFERROR(INDEX(Détail!$E$5:$E$30,MATCH("Mur de chaume (gabarit de pose, à démolir)",Détail!$B$5:$B$30,0)),0)</f>
        <v/>
      </c>
      <c r="D56" s="7">
        <f>IFERROR(INDEX(Détail!$F$5:$F$30,MATCH("Mur de chaume (gabarit de pose, à démolir)",Détail!$B$5:$B$30,0)),0)</f>
        <v/>
      </c>
      <c r="E56" s="7">
        <f>IFERROR(INDEX(Détail!$G$5:$G$30,MATCH("Mur de chaume (gabarit de pose, à démolir)",Détail!$B$5:$B$30,0)),0)</f>
        <v/>
      </c>
      <c r="F56" s="7">
        <f>IFERROR(INDEX(Détail!$H$5:$H$30,MATCH("Mur de chaume (gabarit de pose, à démolir)",Détail!$B$5:$B$30,0)),0)</f>
        <v/>
      </c>
      <c r="G56" s="7">
        <f>IFERROR(INDEX(Détail!$I$5:$I$30,MATCH("Mur de chaume (gabarit de pose, à démolir)",Détail!$B$5:$B$30,0)),0)</f>
        <v/>
      </c>
      <c r="H56" s="7">
        <f>IFERROR(INDEX(Détail!$J$5:$J$30,MATCH("Mur de chaume (gabarit de pose, à démolir)",Détail!$B$5:$B$30,0)),0)</f>
        <v/>
      </c>
      <c r="I56" s="7">
        <f>IFERROR(INDEX(Détail!$K$5:$K$30,MATCH("Mur de chaume (gabarit de pose, à démolir)",Détail!$B$5:$B$30,0)),0)</f>
        <v/>
      </c>
      <c r="J56" s="7">
        <f>IFERROR(INDEX(Détail!$L$5:$L$30,MATCH("Mur de chaume (gabarit de pose, à démolir)",Détail!$B$5:$B$30,0)),0)</f>
        <v/>
      </c>
      <c r="K56" s="7">
        <f>IFERROR(INDEX(Détail!$M$5:$M$30,MATCH("Mur de chaume (gabarit de pose, à démolir)",Détail!$B$5:$B$30,0)),0)</f>
        <v/>
      </c>
      <c r="L56" s="7">
        <f>IFERROR(INDEX(Détail!$N$5:$N$30,MATCH("Mur de chaume (gabarit de pose, à démolir)",Détail!$B$5:$B$30,0)),0)</f>
        <v/>
      </c>
      <c r="M56" s="7">
        <f>IFERROR(INDEX(Détail!$O$5:$O$30,MATCH("Mur de chaume (gabarit de pose, à démolir)",Détail!$B$5:$B$30,0)),0)</f>
        <v/>
      </c>
      <c r="N56" s="7">
        <f>IFERROR(INDEX(Détail!$P$5:$P$30,MATCH("Mur de chaume (gabarit de pose, à démolir)",Détail!$B$5:$B$30,0)),0)</f>
        <v/>
      </c>
      <c r="O56" s="7">
        <f>IFERROR(INDEX(Détail!$Q$5:$Q$30,MATCH("Mur de chaume (gabarit de pose, à démolir)",Détail!$B$5:$B$30,0)),0)</f>
        <v/>
      </c>
      <c r="P56" s="7">
        <f>IFERROR(INDEX(Détail!$R$5:$R$30,MATCH("Mur de chaume (gabarit de pose, à démolir)",Détail!$B$5:$B$30,0)),0)</f>
        <v/>
      </c>
      <c r="Q56" s="14">
        <f>$B56*C56</f>
        <v/>
      </c>
      <c r="R56" s="14">
        <f>$B56*D56</f>
        <v/>
      </c>
      <c r="S56" s="14">
        <f>$B56*E56</f>
        <v/>
      </c>
      <c r="T56" s="14">
        <f>$B56*F56</f>
        <v/>
      </c>
      <c r="U56" s="14">
        <f>$B56*G56</f>
        <v/>
      </c>
      <c r="V56" s="14">
        <f>$B56*H56</f>
        <v/>
      </c>
      <c r="W56" s="14">
        <f>$B56*I56</f>
        <v/>
      </c>
      <c r="X56" s="14">
        <f>$B56*J56</f>
        <v/>
      </c>
      <c r="Y56" s="14">
        <f>$B56*K56</f>
        <v/>
      </c>
      <c r="Z56" s="14">
        <f>$B56*L56</f>
        <v/>
      </c>
      <c r="AA56" s="14">
        <f>$B56*M56</f>
        <v/>
      </c>
      <c r="AB56" s="14">
        <f>$B56*N56</f>
        <v/>
      </c>
      <c r="AC56" s="14">
        <f>$B56*O56</f>
        <v/>
      </c>
      <c r="AD56" s="14">
        <f>$B56*P56</f>
        <v/>
      </c>
    </row>
    <row r="57">
      <c r="A57" s="6" t="inlineStr">
        <is>
          <t>Plafond à trappe métal</t>
        </is>
      </c>
      <c r="B57" s="16" t="n">
        <v>5</v>
      </c>
      <c r="C57" s="7">
        <f>IFERROR(INDEX(Détail!$E$5:$E$30,MATCH("Plafond à trappe métal",Détail!$B$5:$B$30,0)),0)</f>
        <v/>
      </c>
      <c r="D57" s="7">
        <f>IFERROR(INDEX(Détail!$F$5:$F$30,MATCH("Plafond à trappe métal",Détail!$B$5:$B$30,0)),0)</f>
        <v/>
      </c>
      <c r="E57" s="7">
        <f>IFERROR(INDEX(Détail!$G$5:$G$30,MATCH("Plafond à trappe métal",Détail!$B$5:$B$30,0)),0)</f>
        <v/>
      </c>
      <c r="F57" s="7">
        <f>IFERROR(INDEX(Détail!$H$5:$H$30,MATCH("Plafond à trappe métal",Détail!$B$5:$B$30,0)),0)</f>
        <v/>
      </c>
      <c r="G57" s="7">
        <f>IFERROR(INDEX(Détail!$I$5:$I$30,MATCH("Plafond à trappe métal",Détail!$B$5:$B$30,0)),0)</f>
        <v/>
      </c>
      <c r="H57" s="7">
        <f>IFERROR(INDEX(Détail!$J$5:$J$30,MATCH("Plafond à trappe métal",Détail!$B$5:$B$30,0)),0)</f>
        <v/>
      </c>
      <c r="I57" s="7">
        <f>IFERROR(INDEX(Détail!$K$5:$K$30,MATCH("Plafond à trappe métal",Détail!$B$5:$B$30,0)),0)</f>
        <v/>
      </c>
      <c r="J57" s="7">
        <f>IFERROR(INDEX(Détail!$L$5:$L$30,MATCH("Plafond à trappe métal",Détail!$B$5:$B$30,0)),0)</f>
        <v/>
      </c>
      <c r="K57" s="7">
        <f>IFERROR(INDEX(Détail!$M$5:$M$30,MATCH("Plafond à trappe métal",Détail!$B$5:$B$30,0)),0)</f>
        <v/>
      </c>
      <c r="L57" s="7">
        <f>IFERROR(INDEX(Détail!$N$5:$N$30,MATCH("Plafond à trappe métal",Détail!$B$5:$B$30,0)),0)</f>
        <v/>
      </c>
      <c r="M57" s="7">
        <f>IFERROR(INDEX(Détail!$O$5:$O$30,MATCH("Plafond à trappe métal",Détail!$B$5:$B$30,0)),0)</f>
        <v/>
      </c>
      <c r="N57" s="7">
        <f>IFERROR(INDEX(Détail!$P$5:$P$30,MATCH("Plafond à trappe métal",Détail!$B$5:$B$30,0)),0)</f>
        <v/>
      </c>
      <c r="O57" s="7">
        <f>IFERROR(INDEX(Détail!$Q$5:$Q$30,MATCH("Plafond à trappe métal",Détail!$B$5:$B$30,0)),0)</f>
        <v/>
      </c>
      <c r="P57" s="7">
        <f>IFERROR(INDEX(Détail!$R$5:$R$30,MATCH("Plafond à trappe métal",Détail!$B$5:$B$30,0)),0)</f>
        <v/>
      </c>
      <c r="Q57" s="14">
        <f>$B57*C57</f>
        <v/>
      </c>
      <c r="R57" s="14">
        <f>$B57*D57</f>
        <v/>
      </c>
      <c r="S57" s="14">
        <f>$B57*E57</f>
        <v/>
      </c>
      <c r="T57" s="14">
        <f>$B57*F57</f>
        <v/>
      </c>
      <c r="U57" s="14">
        <f>$B57*G57</f>
        <v/>
      </c>
      <c r="V57" s="14">
        <f>$B57*H57</f>
        <v/>
      </c>
      <c r="W57" s="14">
        <f>$B57*I57</f>
        <v/>
      </c>
      <c r="X57" s="14">
        <f>$B57*J57</f>
        <v/>
      </c>
      <c r="Y57" s="14">
        <f>$B57*K57</f>
        <v/>
      </c>
      <c r="Z57" s="14">
        <f>$B57*L57</f>
        <v/>
      </c>
      <c r="AA57" s="14">
        <f>$B57*M57</f>
        <v/>
      </c>
      <c r="AB57" s="14">
        <f>$B57*N57</f>
        <v/>
      </c>
      <c r="AC57" s="14">
        <f>$B57*O57</f>
        <v/>
      </c>
      <c r="AD57" s="14">
        <f>$B57*P57</f>
        <v/>
      </c>
    </row>
    <row r="58">
      <c r="A58" s="8" t="inlineStr">
        <is>
          <t>Total</t>
        </is>
      </c>
      <c r="B58" s="9">
        <f>SUM(B51:B57)</f>
        <v/>
      </c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9">
        <f>SUM(Q51:Q57)</f>
        <v/>
      </c>
      <c r="R58" s="9">
        <f>SUM(R51:R57)</f>
        <v/>
      </c>
      <c r="S58" s="9">
        <f>SUM(S51:S57)</f>
        <v/>
      </c>
      <c r="T58" s="9">
        <f>SUM(T51:T57)</f>
        <v/>
      </c>
      <c r="U58" s="9">
        <f>SUM(U51:U57)</f>
        <v/>
      </c>
      <c r="V58" s="9">
        <f>SUM(V51:V57)</f>
        <v/>
      </c>
      <c r="W58" s="9">
        <f>SUM(W51:W57)</f>
        <v/>
      </c>
      <c r="X58" s="9">
        <f>SUM(X51:X57)</f>
        <v/>
      </c>
      <c r="Y58" s="9">
        <f>SUM(Y51:Y57)</f>
        <v/>
      </c>
      <c r="Z58" s="9">
        <f>SUM(Z51:Z57)</f>
        <v/>
      </c>
      <c r="AA58" s="9">
        <f>SUM(AA51:AA57)</f>
        <v/>
      </c>
      <c r="AB58" s="9">
        <f>SUM(AB51:AB57)</f>
        <v/>
      </c>
      <c r="AC58" s="9">
        <f>SUM(AC51:AC57)</f>
        <v/>
      </c>
      <c r="AD58" s="9">
        <f>SUM(AD51:AD57)</f>
        <v/>
      </c>
    </row>
    <row r="59">
      <c r="A59" s="8" t="inlineStr">
        <is>
          <t>À fabriquer (hors tourelles)</t>
        </is>
      </c>
      <c r="B59" s="9">
        <f>SUM(B51:B57)-SUMIF(A51:A57,"* (inventaire)",B51:B57)</f>
        <v/>
      </c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9">
        <f>SUM(Q51:Q57)-SUMIF(A51:A57,"* (inventaire)",Q51:Q57)</f>
        <v/>
      </c>
      <c r="R59" s="9">
        <f>SUM(R51:R57)-SUMIF(A51:A57,"* (inventaire)",R51:R57)</f>
        <v/>
      </c>
      <c r="S59" s="9">
        <f>SUM(S51:S57)-SUMIF(A51:A57,"* (inventaire)",S51:S57)</f>
        <v/>
      </c>
      <c r="T59" s="9">
        <f>SUM(T51:T57)-SUMIF(A51:A57,"* (inventaire)",T51:T57)</f>
        <v/>
      </c>
      <c r="U59" s="9">
        <f>SUM(U51:U57)-SUMIF(A51:A57,"* (inventaire)",U51:U57)</f>
        <v/>
      </c>
      <c r="V59" s="9">
        <f>SUM(V51:V57)-SUMIF(A51:A57,"* (inventaire)",V51:V57)</f>
        <v/>
      </c>
      <c r="W59" s="9">
        <f>SUM(W51:W57)-SUMIF(A51:A57,"* (inventaire)",W51:W57)</f>
        <v/>
      </c>
      <c r="X59" s="9">
        <f>SUM(X51:X57)-SUMIF(A51:A57,"* (inventaire)",X51:X57)</f>
        <v/>
      </c>
      <c r="Y59" s="9">
        <f>SUM(Y51:Y57)-SUMIF(A51:A57,"* (inventaire)",Y51:Y57)</f>
        <v/>
      </c>
      <c r="Z59" s="9">
        <f>SUM(Z51:Z57)-SUMIF(A51:A57,"* (inventaire)",Z51:Z57)</f>
        <v/>
      </c>
      <c r="AA59" s="9">
        <f>SUM(AA51:AA57)-SUMIF(A51:A57,"* (inventaire)",AA51:AA57)</f>
        <v/>
      </c>
      <c r="AB59" s="9">
        <f>SUM(AB51:AB57)-SUMIF(A51:A57,"* (inventaire)",AB51:AB57)</f>
        <v/>
      </c>
      <c r="AC59" s="9">
        <f>SUM(AC51:AC57)-SUMIF(A51:A57,"* (inventaire)",AC51:AC57)</f>
        <v/>
      </c>
      <c r="AD59" s="9">
        <f>SUM(AD51:AD57)-SUMIF(A51:A57,"* (inventaire)",AD51:AD57)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</row>
    <row r="61">
      <c r="A61" s="15" t="inlineStr">
        <is>
          <t>Plan 07 tourelles D8-D4</t>
        </is>
      </c>
      <c r="B61" s="2" t="n"/>
      <c r="C61" s="3" t="inlineStr">
        <is>
          <t>71 entrées dans le template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</row>
    <row r="62" ht="30" customHeight="1">
      <c r="A62" s="11" t="inlineStr">
        <is>
          <t>Pièce</t>
        </is>
      </c>
      <c r="B62" s="11" t="inlineStr">
        <is>
          <t>Nombre</t>
        </is>
      </c>
      <c r="C62" s="11" t="inlineStr">
        <is>
          <t>Lingots de métal / u</t>
        </is>
      </c>
      <c r="D62" s="11" t="inlineStr">
        <is>
          <t>Pâte cimentée / u</t>
        </is>
      </c>
      <c r="E62" s="11" t="inlineStr">
        <is>
          <t>Électroniques / u</t>
        </is>
      </c>
      <c r="F62" s="11" t="inlineStr">
        <is>
          <t>Polymère / u</t>
        </is>
      </c>
      <c r="G62" s="11" t="inlineStr">
        <is>
          <t>Cristal / u</t>
        </is>
      </c>
      <c r="H62" s="11" t="inlineStr">
        <is>
          <t>Élément / u</t>
        </is>
      </c>
      <c r="I62" s="11" t="inlineStr">
        <is>
          <t>Perles noires / u</t>
        </is>
      </c>
      <c r="J62" s="11" t="inlineStr">
        <is>
          <t>Huile / u</t>
        </is>
      </c>
      <c r="K62" s="11" t="inlineStr">
        <is>
          <t>Poudre étincelante / u</t>
        </is>
      </c>
      <c r="L62" s="11" t="inlineStr">
        <is>
          <t>Cuir / u</t>
        </is>
      </c>
      <c r="M62" s="11" t="inlineStr">
        <is>
          <t>Fibre / u</t>
        </is>
      </c>
      <c r="N62" s="11" t="inlineStr">
        <is>
          <t>Chaume / u</t>
        </is>
      </c>
      <c r="O62" s="11" t="inlineStr">
        <is>
          <t>Bois / u</t>
        </is>
      </c>
      <c r="P62" s="11" t="inlineStr">
        <is>
          <t>Pierre / u</t>
        </is>
      </c>
      <c r="Q62" s="11" t="inlineStr">
        <is>
          <t>Lingots de métal total</t>
        </is>
      </c>
      <c r="R62" s="11" t="inlineStr">
        <is>
          <t>Pâte cimentée total</t>
        </is>
      </c>
      <c r="S62" s="11" t="inlineStr">
        <is>
          <t>Électroniques total</t>
        </is>
      </c>
      <c r="T62" s="11" t="inlineStr">
        <is>
          <t>Polymère total</t>
        </is>
      </c>
      <c r="U62" s="11" t="inlineStr">
        <is>
          <t>Cristal total</t>
        </is>
      </c>
      <c r="V62" s="11" t="inlineStr">
        <is>
          <t>Élément total</t>
        </is>
      </c>
      <c r="W62" s="11" t="inlineStr">
        <is>
          <t>Perles noires total</t>
        </is>
      </c>
      <c r="X62" s="11" t="inlineStr">
        <is>
          <t>Huile total</t>
        </is>
      </c>
      <c r="Y62" s="11" t="inlineStr">
        <is>
          <t>Poudre étincelante total</t>
        </is>
      </c>
      <c r="Z62" s="11" t="inlineStr">
        <is>
          <t>Cuir total</t>
        </is>
      </c>
      <c r="AA62" s="11" t="inlineStr">
        <is>
          <t>Fibre total</t>
        </is>
      </c>
      <c r="AB62" s="11" t="inlineStr">
        <is>
          <t>Chaume total</t>
        </is>
      </c>
      <c r="AC62" s="11" t="inlineStr">
        <is>
          <t>Bois total</t>
        </is>
      </c>
      <c r="AD62" s="11" t="inlineStr">
        <is>
          <t>Pierre total</t>
        </is>
      </c>
    </row>
    <row r="63">
      <c r="A63" s="6" t="inlineStr">
        <is>
          <t>Tourelle lourde (Heavy) (inventaire)</t>
        </is>
      </c>
      <c r="B63" s="16" t="n">
        <v>44</v>
      </c>
      <c r="C63" s="7">
        <f>IFERROR(INDEX(Détail!$E$5:$E$30,MATCH("Tourelle lourde (Heavy)",Détail!$B$5:$B$30,0)),0)</f>
        <v/>
      </c>
      <c r="D63" s="7">
        <f>IFERROR(INDEX(Détail!$F$5:$F$30,MATCH("Tourelle lourde (Heavy)",Détail!$B$5:$B$30,0)),0)</f>
        <v/>
      </c>
      <c r="E63" s="7">
        <f>IFERROR(INDEX(Détail!$G$5:$G$30,MATCH("Tourelle lourde (Heavy)",Détail!$B$5:$B$30,0)),0)</f>
        <v/>
      </c>
      <c r="F63" s="7">
        <f>IFERROR(INDEX(Détail!$H$5:$H$30,MATCH("Tourelle lourde (Heavy)",Détail!$B$5:$B$30,0)),0)</f>
        <v/>
      </c>
      <c r="G63" s="7">
        <f>IFERROR(INDEX(Détail!$I$5:$I$30,MATCH("Tourelle lourde (Heavy)",Détail!$B$5:$B$30,0)),0)</f>
        <v/>
      </c>
      <c r="H63" s="7">
        <f>IFERROR(INDEX(Détail!$J$5:$J$30,MATCH("Tourelle lourde (Heavy)",Détail!$B$5:$B$30,0)),0)</f>
        <v/>
      </c>
      <c r="I63" s="7">
        <f>IFERROR(INDEX(Détail!$K$5:$K$30,MATCH("Tourelle lourde (Heavy)",Détail!$B$5:$B$30,0)),0)</f>
        <v/>
      </c>
      <c r="J63" s="7">
        <f>IFERROR(INDEX(Détail!$L$5:$L$30,MATCH("Tourelle lourde (Heavy)",Détail!$B$5:$B$30,0)),0)</f>
        <v/>
      </c>
      <c r="K63" s="7">
        <f>IFERROR(INDEX(Détail!$M$5:$M$30,MATCH("Tourelle lourde (Heavy)",Détail!$B$5:$B$30,0)),0)</f>
        <v/>
      </c>
      <c r="L63" s="7">
        <f>IFERROR(INDEX(Détail!$N$5:$N$30,MATCH("Tourelle lourde (Heavy)",Détail!$B$5:$B$30,0)),0)</f>
        <v/>
      </c>
      <c r="M63" s="7">
        <f>IFERROR(INDEX(Détail!$O$5:$O$30,MATCH("Tourelle lourde (Heavy)",Détail!$B$5:$B$30,0)),0)</f>
        <v/>
      </c>
      <c r="N63" s="7">
        <f>IFERROR(INDEX(Détail!$P$5:$P$30,MATCH("Tourelle lourde (Heavy)",Détail!$B$5:$B$30,0)),0)</f>
        <v/>
      </c>
      <c r="O63" s="7">
        <f>IFERROR(INDEX(Détail!$Q$5:$Q$30,MATCH("Tourelle lourde (Heavy)",Détail!$B$5:$B$30,0)),0)</f>
        <v/>
      </c>
      <c r="P63" s="7">
        <f>IFERROR(INDEX(Détail!$R$5:$R$30,MATCH("Tourelle lourde (Heavy)",Détail!$B$5:$B$30,0)),0)</f>
        <v/>
      </c>
      <c r="Q63" s="14">
        <f>$B63*C63</f>
        <v/>
      </c>
      <c r="R63" s="14">
        <f>$B63*D63</f>
        <v/>
      </c>
      <c r="S63" s="14">
        <f>$B63*E63</f>
        <v/>
      </c>
      <c r="T63" s="14">
        <f>$B63*F63</f>
        <v/>
      </c>
      <c r="U63" s="14">
        <f>$B63*G63</f>
        <v/>
      </c>
      <c r="V63" s="14">
        <f>$B63*H63</f>
        <v/>
      </c>
      <c r="W63" s="14">
        <f>$B63*I63</f>
        <v/>
      </c>
      <c r="X63" s="14">
        <f>$B63*J63</f>
        <v/>
      </c>
      <c r="Y63" s="14">
        <f>$B63*K63</f>
        <v/>
      </c>
      <c r="Z63" s="14">
        <f>$B63*L63</f>
        <v/>
      </c>
      <c r="AA63" s="14">
        <f>$B63*M63</f>
        <v/>
      </c>
      <c r="AB63" s="14">
        <f>$B63*N63</f>
        <v/>
      </c>
      <c r="AC63" s="14">
        <f>$B63*O63</f>
        <v/>
      </c>
      <c r="AD63" s="14">
        <f>$B63*P63</f>
        <v/>
      </c>
    </row>
    <row r="64">
      <c r="A64" s="6" t="inlineStr">
        <is>
          <t>Tourelle Tek (inventaire)</t>
        </is>
      </c>
      <c r="B64" s="16" t="n">
        <v>15</v>
      </c>
      <c r="C64" s="7">
        <f>IFERROR(INDEX(Détail!$E$5:$E$30,MATCH("Tourelle Tek",Détail!$B$5:$B$30,0)),0)</f>
        <v/>
      </c>
      <c r="D64" s="7">
        <f>IFERROR(INDEX(Détail!$F$5:$F$30,MATCH("Tourelle Tek",Détail!$B$5:$B$30,0)),0)</f>
        <v/>
      </c>
      <c r="E64" s="7">
        <f>IFERROR(INDEX(Détail!$G$5:$G$30,MATCH("Tourelle Tek",Détail!$B$5:$B$30,0)),0)</f>
        <v/>
      </c>
      <c r="F64" s="7">
        <f>IFERROR(INDEX(Détail!$H$5:$H$30,MATCH("Tourelle Tek",Détail!$B$5:$B$30,0)),0)</f>
        <v/>
      </c>
      <c r="G64" s="7">
        <f>IFERROR(INDEX(Détail!$I$5:$I$30,MATCH("Tourelle Tek",Détail!$B$5:$B$30,0)),0)</f>
        <v/>
      </c>
      <c r="H64" s="7">
        <f>IFERROR(INDEX(Détail!$J$5:$J$30,MATCH("Tourelle Tek",Détail!$B$5:$B$30,0)),0)</f>
        <v/>
      </c>
      <c r="I64" s="7">
        <f>IFERROR(INDEX(Détail!$K$5:$K$30,MATCH("Tourelle Tek",Détail!$B$5:$B$30,0)),0)</f>
        <v/>
      </c>
      <c r="J64" s="7">
        <f>IFERROR(INDEX(Détail!$L$5:$L$30,MATCH("Tourelle Tek",Détail!$B$5:$B$30,0)),0)</f>
        <v/>
      </c>
      <c r="K64" s="7">
        <f>IFERROR(INDEX(Détail!$M$5:$M$30,MATCH("Tourelle Tek",Détail!$B$5:$B$30,0)),0)</f>
        <v/>
      </c>
      <c r="L64" s="7">
        <f>IFERROR(INDEX(Détail!$N$5:$N$30,MATCH("Tourelle Tek",Détail!$B$5:$B$30,0)),0)</f>
        <v/>
      </c>
      <c r="M64" s="7">
        <f>IFERROR(INDEX(Détail!$O$5:$O$30,MATCH("Tourelle Tek",Détail!$B$5:$B$30,0)),0)</f>
        <v/>
      </c>
      <c r="N64" s="7">
        <f>IFERROR(INDEX(Détail!$P$5:$P$30,MATCH("Tourelle Tek",Détail!$B$5:$B$30,0)),0)</f>
        <v/>
      </c>
      <c r="O64" s="7">
        <f>IFERROR(INDEX(Détail!$Q$5:$Q$30,MATCH("Tourelle Tek",Détail!$B$5:$B$30,0)),0)</f>
        <v/>
      </c>
      <c r="P64" s="7">
        <f>IFERROR(INDEX(Détail!$R$5:$R$30,MATCH("Tourelle Tek",Détail!$B$5:$B$30,0)),0)</f>
        <v/>
      </c>
      <c r="Q64" s="14">
        <f>$B64*C64</f>
        <v/>
      </c>
      <c r="R64" s="14">
        <f>$B64*D64</f>
        <v/>
      </c>
      <c r="S64" s="14">
        <f>$B64*E64</f>
        <v/>
      </c>
      <c r="T64" s="14">
        <f>$B64*F64</f>
        <v/>
      </c>
      <c r="U64" s="14">
        <f>$B64*G64</f>
        <v/>
      </c>
      <c r="V64" s="14">
        <f>$B64*H64</f>
        <v/>
      </c>
      <c r="W64" s="14">
        <f>$B64*I64</f>
        <v/>
      </c>
      <c r="X64" s="14">
        <f>$B64*J64</f>
        <v/>
      </c>
      <c r="Y64" s="14">
        <f>$B64*K64</f>
        <v/>
      </c>
      <c r="Z64" s="14">
        <f>$B64*L64</f>
        <v/>
      </c>
      <c r="AA64" s="14">
        <f>$B64*M64</f>
        <v/>
      </c>
      <c r="AB64" s="14">
        <f>$B64*N64</f>
        <v/>
      </c>
      <c r="AC64" s="14">
        <f>$B64*O64</f>
        <v/>
      </c>
      <c r="AD64" s="14">
        <f>$B64*P64</f>
        <v/>
      </c>
    </row>
    <row r="65">
      <c r="A65" s="6" t="inlineStr">
        <is>
          <t>Bobine Tesla (inventaire)</t>
        </is>
      </c>
      <c r="B65" s="16" t="n">
        <v>6</v>
      </c>
      <c r="C65" s="7">
        <f>IFERROR(INDEX(Détail!$E$5:$E$30,MATCH("Bobine Tesla",Détail!$B$5:$B$30,0)),0)</f>
        <v/>
      </c>
      <c r="D65" s="7">
        <f>IFERROR(INDEX(Détail!$F$5:$F$30,MATCH("Bobine Tesla",Détail!$B$5:$B$30,0)),0)</f>
        <v/>
      </c>
      <c r="E65" s="7">
        <f>IFERROR(INDEX(Détail!$G$5:$G$30,MATCH("Bobine Tesla",Détail!$B$5:$B$30,0)),0)</f>
        <v/>
      </c>
      <c r="F65" s="7">
        <f>IFERROR(INDEX(Détail!$H$5:$H$30,MATCH("Bobine Tesla",Détail!$B$5:$B$30,0)),0)</f>
        <v/>
      </c>
      <c r="G65" s="7">
        <f>IFERROR(INDEX(Détail!$I$5:$I$30,MATCH("Bobine Tesla",Détail!$B$5:$B$30,0)),0)</f>
        <v/>
      </c>
      <c r="H65" s="7">
        <f>IFERROR(INDEX(Détail!$J$5:$J$30,MATCH("Bobine Tesla",Détail!$B$5:$B$30,0)),0)</f>
        <v/>
      </c>
      <c r="I65" s="7">
        <f>IFERROR(INDEX(Détail!$K$5:$K$30,MATCH("Bobine Tesla",Détail!$B$5:$B$30,0)),0)</f>
        <v/>
      </c>
      <c r="J65" s="7">
        <f>IFERROR(INDEX(Détail!$L$5:$L$30,MATCH("Bobine Tesla",Détail!$B$5:$B$30,0)),0)</f>
        <v/>
      </c>
      <c r="K65" s="7">
        <f>IFERROR(INDEX(Détail!$M$5:$M$30,MATCH("Bobine Tesla",Détail!$B$5:$B$30,0)),0)</f>
        <v/>
      </c>
      <c r="L65" s="7">
        <f>IFERROR(INDEX(Détail!$N$5:$N$30,MATCH("Bobine Tesla",Détail!$B$5:$B$30,0)),0)</f>
        <v/>
      </c>
      <c r="M65" s="7">
        <f>IFERROR(INDEX(Détail!$O$5:$O$30,MATCH("Bobine Tesla",Détail!$B$5:$B$30,0)),0)</f>
        <v/>
      </c>
      <c r="N65" s="7">
        <f>IFERROR(INDEX(Détail!$P$5:$P$30,MATCH("Bobine Tesla",Détail!$B$5:$B$30,0)),0)</f>
        <v/>
      </c>
      <c r="O65" s="7">
        <f>IFERROR(INDEX(Détail!$Q$5:$Q$30,MATCH("Bobine Tesla",Détail!$B$5:$B$30,0)),0)</f>
        <v/>
      </c>
      <c r="P65" s="7">
        <f>IFERROR(INDEX(Détail!$R$5:$R$30,MATCH("Bobine Tesla",Détail!$B$5:$B$30,0)),0)</f>
        <v/>
      </c>
      <c r="Q65" s="14">
        <f>$B65*C65</f>
        <v/>
      </c>
      <c r="R65" s="14">
        <f>$B65*D65</f>
        <v/>
      </c>
      <c r="S65" s="14">
        <f>$B65*E65</f>
        <v/>
      </c>
      <c r="T65" s="14">
        <f>$B65*F65</f>
        <v/>
      </c>
      <c r="U65" s="14">
        <f>$B65*G65</f>
        <v/>
      </c>
      <c r="V65" s="14">
        <f>$B65*H65</f>
        <v/>
      </c>
      <c r="W65" s="14">
        <f>$B65*I65</f>
        <v/>
      </c>
      <c r="X65" s="14">
        <f>$B65*J65</f>
        <v/>
      </c>
      <c r="Y65" s="14">
        <f>$B65*K65</f>
        <v/>
      </c>
      <c r="Z65" s="14">
        <f>$B65*L65</f>
        <v/>
      </c>
      <c r="AA65" s="14">
        <f>$B65*M65</f>
        <v/>
      </c>
      <c r="AB65" s="14">
        <f>$B65*N65</f>
        <v/>
      </c>
      <c r="AC65" s="14">
        <f>$B65*O65</f>
        <v/>
      </c>
      <c r="AD65" s="14">
        <f>$B65*P65</f>
        <v/>
      </c>
    </row>
    <row r="66">
      <c r="A66" s="6" t="inlineStr">
        <is>
          <t>Grand carré de culture (Plant Species X)</t>
        </is>
      </c>
      <c r="B66" s="16" t="n">
        <v>5</v>
      </c>
      <c r="C66" s="7">
        <f>IFERROR(INDEX(Détail!$E$5:$E$30,MATCH("Grand carré de culture (Plant Species X)",Détail!$B$5:$B$30,0)),0)</f>
        <v/>
      </c>
      <c r="D66" s="7">
        <f>IFERROR(INDEX(Détail!$F$5:$F$30,MATCH("Grand carré de culture (Plant Species X)",Détail!$B$5:$B$30,0)),0)</f>
        <v/>
      </c>
      <c r="E66" s="7">
        <f>IFERROR(INDEX(Détail!$G$5:$G$30,MATCH("Grand carré de culture (Plant Species X)",Détail!$B$5:$B$30,0)),0)</f>
        <v/>
      </c>
      <c r="F66" s="7">
        <f>IFERROR(INDEX(Détail!$H$5:$H$30,MATCH("Grand carré de culture (Plant Species X)",Détail!$B$5:$B$30,0)),0)</f>
        <v/>
      </c>
      <c r="G66" s="7">
        <f>IFERROR(INDEX(Détail!$I$5:$I$30,MATCH("Grand carré de culture (Plant Species X)",Détail!$B$5:$B$30,0)),0)</f>
        <v/>
      </c>
      <c r="H66" s="7">
        <f>IFERROR(INDEX(Détail!$J$5:$J$30,MATCH("Grand carré de culture (Plant Species X)",Détail!$B$5:$B$30,0)),0)</f>
        <v/>
      </c>
      <c r="I66" s="7">
        <f>IFERROR(INDEX(Détail!$K$5:$K$30,MATCH("Grand carré de culture (Plant Species X)",Détail!$B$5:$B$30,0)),0)</f>
        <v/>
      </c>
      <c r="J66" s="7">
        <f>IFERROR(INDEX(Détail!$L$5:$L$30,MATCH("Grand carré de culture (Plant Species X)",Détail!$B$5:$B$30,0)),0)</f>
        <v/>
      </c>
      <c r="K66" s="7">
        <f>IFERROR(INDEX(Détail!$M$5:$M$30,MATCH("Grand carré de culture (Plant Species X)",Détail!$B$5:$B$30,0)),0)</f>
        <v/>
      </c>
      <c r="L66" s="7">
        <f>IFERROR(INDEX(Détail!$N$5:$N$30,MATCH("Grand carré de culture (Plant Species X)",Détail!$B$5:$B$30,0)),0)</f>
        <v/>
      </c>
      <c r="M66" s="7">
        <f>IFERROR(INDEX(Détail!$O$5:$O$30,MATCH("Grand carré de culture (Plant Species X)",Détail!$B$5:$B$30,0)),0)</f>
        <v/>
      </c>
      <c r="N66" s="7">
        <f>IFERROR(INDEX(Détail!$P$5:$P$30,MATCH("Grand carré de culture (Plant Species X)",Détail!$B$5:$B$30,0)),0)</f>
        <v/>
      </c>
      <c r="O66" s="7">
        <f>IFERROR(INDEX(Détail!$Q$5:$Q$30,MATCH("Grand carré de culture (Plant Species X)",Détail!$B$5:$B$30,0)),0)</f>
        <v/>
      </c>
      <c r="P66" s="7">
        <f>IFERROR(INDEX(Détail!$R$5:$R$30,MATCH("Grand carré de culture (Plant Species X)",Détail!$B$5:$B$30,0)),0)</f>
        <v/>
      </c>
      <c r="Q66" s="14">
        <f>$B66*C66</f>
        <v/>
      </c>
      <c r="R66" s="14">
        <f>$B66*D66</f>
        <v/>
      </c>
      <c r="S66" s="14">
        <f>$B66*E66</f>
        <v/>
      </c>
      <c r="T66" s="14">
        <f>$B66*F66</f>
        <v/>
      </c>
      <c r="U66" s="14">
        <f>$B66*G66</f>
        <v/>
      </c>
      <c r="V66" s="14">
        <f>$B66*H66</f>
        <v/>
      </c>
      <c r="W66" s="14">
        <f>$B66*I66</f>
        <v/>
      </c>
      <c r="X66" s="14">
        <f>$B66*J66</f>
        <v/>
      </c>
      <c r="Y66" s="14">
        <f>$B66*K66</f>
        <v/>
      </c>
      <c r="Z66" s="14">
        <f>$B66*L66</f>
        <v/>
      </c>
      <c r="AA66" s="14">
        <f>$B66*M66</f>
        <v/>
      </c>
      <c r="AB66" s="14">
        <f>$B66*N66</f>
        <v/>
      </c>
      <c r="AC66" s="14">
        <f>$B66*O66</f>
        <v/>
      </c>
      <c r="AD66" s="14">
        <f>$B66*P66</f>
        <v/>
      </c>
    </row>
    <row r="67">
      <c r="A67" s="8" t="inlineStr">
        <is>
          <t>Total</t>
        </is>
      </c>
      <c r="B67" s="9">
        <f>SUM(B63:B66)</f>
        <v/>
      </c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9">
        <f>SUM(Q63:Q66)</f>
        <v/>
      </c>
      <c r="R67" s="9">
        <f>SUM(R63:R66)</f>
        <v/>
      </c>
      <c r="S67" s="9">
        <f>SUM(S63:S66)</f>
        <v/>
      </c>
      <c r="T67" s="9">
        <f>SUM(T63:T66)</f>
        <v/>
      </c>
      <c r="U67" s="9">
        <f>SUM(U63:U66)</f>
        <v/>
      </c>
      <c r="V67" s="9">
        <f>SUM(V63:V66)</f>
        <v/>
      </c>
      <c r="W67" s="9">
        <f>SUM(W63:W66)</f>
        <v/>
      </c>
      <c r="X67" s="9">
        <f>SUM(X63:X66)</f>
        <v/>
      </c>
      <c r="Y67" s="9">
        <f>SUM(Y63:Y66)</f>
        <v/>
      </c>
      <c r="Z67" s="9">
        <f>SUM(Z63:Z66)</f>
        <v/>
      </c>
      <c r="AA67" s="9">
        <f>SUM(AA63:AA66)</f>
        <v/>
      </c>
      <c r="AB67" s="9">
        <f>SUM(AB63:AB66)</f>
        <v/>
      </c>
      <c r="AC67" s="9">
        <f>SUM(AC63:AC66)</f>
        <v/>
      </c>
      <c r="AD67" s="9">
        <f>SUM(AD63:AD66)</f>
        <v/>
      </c>
    </row>
    <row r="68">
      <c r="A68" s="8" t="inlineStr">
        <is>
          <t>À fabriquer (hors tourelles)</t>
        </is>
      </c>
      <c r="B68" s="9">
        <f>SUM(B63:B66)-SUMIF(A63:A66,"* (inventaire)",B63:B66)</f>
        <v/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9">
        <f>SUM(Q63:Q66)-SUMIF(A63:A66,"* (inventaire)",Q63:Q66)</f>
        <v/>
      </c>
      <c r="R68" s="9">
        <f>SUM(R63:R66)-SUMIF(A63:A66,"* (inventaire)",R63:R66)</f>
        <v/>
      </c>
      <c r="S68" s="9">
        <f>SUM(S63:S66)-SUMIF(A63:A66,"* (inventaire)",S63:S66)</f>
        <v/>
      </c>
      <c r="T68" s="9">
        <f>SUM(T63:T66)-SUMIF(A63:A66,"* (inventaire)",T63:T66)</f>
        <v/>
      </c>
      <c r="U68" s="9">
        <f>SUM(U63:U66)-SUMIF(A63:A66,"* (inventaire)",U63:U66)</f>
        <v/>
      </c>
      <c r="V68" s="9">
        <f>SUM(V63:V66)-SUMIF(A63:A66,"* (inventaire)",V63:V66)</f>
        <v/>
      </c>
      <c r="W68" s="9">
        <f>SUM(W63:W66)-SUMIF(A63:A66,"* (inventaire)",W63:W66)</f>
        <v/>
      </c>
      <c r="X68" s="9">
        <f>SUM(X63:X66)-SUMIF(A63:A66,"* (inventaire)",X63:X66)</f>
        <v/>
      </c>
      <c r="Y68" s="9">
        <f>SUM(Y63:Y66)-SUMIF(A63:A66,"* (inventaire)",Y63:Y66)</f>
        <v/>
      </c>
      <c r="Z68" s="9">
        <f>SUM(Z63:Z66)-SUMIF(A63:A66,"* (inventaire)",Z63:Z66)</f>
        <v/>
      </c>
      <c r="AA68" s="9">
        <f>SUM(AA63:AA66)-SUMIF(A63:A66,"* (inventaire)",AA63:AA66)</f>
        <v/>
      </c>
      <c r="AB68" s="9">
        <f>SUM(AB63:AB66)-SUMIF(A63:A66,"* (inventaire)",AB63:AB66)</f>
        <v/>
      </c>
      <c r="AC68" s="9">
        <f>SUM(AC63:AC66)-SUMIF(A63:A66,"* (inventaire)",AC63:AC66)</f>
        <v/>
      </c>
      <c r="AD68" s="9">
        <f>SUM(AD63:AD66)-SUMIF(A63:A66,"* (inventaire)",AD63:AD66)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</row>
    <row r="70">
      <c r="A70" s="15" t="inlineStr">
        <is>
          <t>Plan 08 tourelles perimetre pod</t>
        </is>
      </c>
      <c r="B70" s="2" t="n"/>
      <c r="C70" s="3" t="inlineStr">
        <is>
          <t>21 entrées dans le template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</row>
    <row r="71" ht="30" customHeight="1">
      <c r="A71" s="11" t="inlineStr">
        <is>
          <t>Pièce</t>
        </is>
      </c>
      <c r="B71" s="11" t="inlineStr">
        <is>
          <t>Nombre</t>
        </is>
      </c>
      <c r="C71" s="11" t="inlineStr">
        <is>
          <t>Lingots de métal / u</t>
        </is>
      </c>
      <c r="D71" s="11" t="inlineStr">
        <is>
          <t>Pâte cimentée / u</t>
        </is>
      </c>
      <c r="E71" s="11" t="inlineStr">
        <is>
          <t>Électroniques / u</t>
        </is>
      </c>
      <c r="F71" s="11" t="inlineStr">
        <is>
          <t>Polymère / u</t>
        </is>
      </c>
      <c r="G71" s="11" t="inlineStr">
        <is>
          <t>Cristal / u</t>
        </is>
      </c>
      <c r="H71" s="11" t="inlineStr">
        <is>
          <t>Élément / u</t>
        </is>
      </c>
      <c r="I71" s="11" t="inlineStr">
        <is>
          <t>Perles noires / u</t>
        </is>
      </c>
      <c r="J71" s="11" t="inlineStr">
        <is>
          <t>Huile / u</t>
        </is>
      </c>
      <c r="K71" s="11" t="inlineStr">
        <is>
          <t>Poudre étincelante / u</t>
        </is>
      </c>
      <c r="L71" s="11" t="inlineStr">
        <is>
          <t>Cuir / u</t>
        </is>
      </c>
      <c r="M71" s="11" t="inlineStr">
        <is>
          <t>Fibre / u</t>
        </is>
      </c>
      <c r="N71" s="11" t="inlineStr">
        <is>
          <t>Chaume / u</t>
        </is>
      </c>
      <c r="O71" s="11" t="inlineStr">
        <is>
          <t>Bois / u</t>
        </is>
      </c>
      <c r="P71" s="11" t="inlineStr">
        <is>
          <t>Pierre / u</t>
        </is>
      </c>
      <c r="Q71" s="11" t="inlineStr">
        <is>
          <t>Lingots de métal total</t>
        </is>
      </c>
      <c r="R71" s="11" t="inlineStr">
        <is>
          <t>Pâte cimentée total</t>
        </is>
      </c>
      <c r="S71" s="11" t="inlineStr">
        <is>
          <t>Électroniques total</t>
        </is>
      </c>
      <c r="T71" s="11" t="inlineStr">
        <is>
          <t>Polymère total</t>
        </is>
      </c>
      <c r="U71" s="11" t="inlineStr">
        <is>
          <t>Cristal total</t>
        </is>
      </c>
      <c r="V71" s="11" t="inlineStr">
        <is>
          <t>Élément total</t>
        </is>
      </c>
      <c r="W71" s="11" t="inlineStr">
        <is>
          <t>Perles noires total</t>
        </is>
      </c>
      <c r="X71" s="11" t="inlineStr">
        <is>
          <t>Huile total</t>
        </is>
      </c>
      <c r="Y71" s="11" t="inlineStr">
        <is>
          <t>Poudre étincelante total</t>
        </is>
      </c>
      <c r="Z71" s="11" t="inlineStr">
        <is>
          <t>Cuir total</t>
        </is>
      </c>
      <c r="AA71" s="11" t="inlineStr">
        <is>
          <t>Fibre total</t>
        </is>
      </c>
      <c r="AB71" s="11" t="inlineStr">
        <is>
          <t>Chaume total</t>
        </is>
      </c>
      <c r="AC71" s="11" t="inlineStr">
        <is>
          <t>Bois total</t>
        </is>
      </c>
      <c r="AD71" s="11" t="inlineStr">
        <is>
          <t>Pierre total</t>
        </is>
      </c>
    </row>
    <row r="72">
      <c r="A72" s="6" t="inlineStr">
        <is>
          <t>Grand carré de culture (Plant Species X)</t>
        </is>
      </c>
      <c r="B72" s="16" t="n">
        <v>6</v>
      </c>
      <c r="C72" s="7">
        <f>IFERROR(INDEX(Détail!$E$5:$E$30,MATCH("Grand carré de culture (Plant Species X)",Détail!$B$5:$B$30,0)),0)</f>
        <v/>
      </c>
      <c r="D72" s="7">
        <f>IFERROR(INDEX(Détail!$F$5:$F$30,MATCH("Grand carré de culture (Plant Species X)",Détail!$B$5:$B$30,0)),0)</f>
        <v/>
      </c>
      <c r="E72" s="7">
        <f>IFERROR(INDEX(Détail!$G$5:$G$30,MATCH("Grand carré de culture (Plant Species X)",Détail!$B$5:$B$30,0)),0)</f>
        <v/>
      </c>
      <c r="F72" s="7">
        <f>IFERROR(INDEX(Détail!$H$5:$H$30,MATCH("Grand carré de culture (Plant Species X)",Détail!$B$5:$B$30,0)),0)</f>
        <v/>
      </c>
      <c r="G72" s="7">
        <f>IFERROR(INDEX(Détail!$I$5:$I$30,MATCH("Grand carré de culture (Plant Species X)",Détail!$B$5:$B$30,0)),0)</f>
        <v/>
      </c>
      <c r="H72" s="7">
        <f>IFERROR(INDEX(Détail!$J$5:$J$30,MATCH("Grand carré de culture (Plant Species X)",Détail!$B$5:$B$30,0)),0)</f>
        <v/>
      </c>
      <c r="I72" s="7">
        <f>IFERROR(INDEX(Détail!$K$5:$K$30,MATCH("Grand carré de culture (Plant Species X)",Détail!$B$5:$B$30,0)),0)</f>
        <v/>
      </c>
      <c r="J72" s="7">
        <f>IFERROR(INDEX(Détail!$L$5:$L$30,MATCH("Grand carré de culture (Plant Species X)",Détail!$B$5:$B$30,0)),0)</f>
        <v/>
      </c>
      <c r="K72" s="7">
        <f>IFERROR(INDEX(Détail!$M$5:$M$30,MATCH("Grand carré de culture (Plant Species X)",Détail!$B$5:$B$30,0)),0)</f>
        <v/>
      </c>
      <c r="L72" s="7">
        <f>IFERROR(INDEX(Détail!$N$5:$N$30,MATCH("Grand carré de culture (Plant Species X)",Détail!$B$5:$B$30,0)),0)</f>
        <v/>
      </c>
      <c r="M72" s="7">
        <f>IFERROR(INDEX(Détail!$O$5:$O$30,MATCH("Grand carré de culture (Plant Species X)",Détail!$B$5:$B$30,0)),0)</f>
        <v/>
      </c>
      <c r="N72" s="7">
        <f>IFERROR(INDEX(Détail!$P$5:$P$30,MATCH("Grand carré de culture (Plant Species X)",Détail!$B$5:$B$30,0)),0)</f>
        <v/>
      </c>
      <c r="O72" s="7">
        <f>IFERROR(INDEX(Détail!$Q$5:$Q$30,MATCH("Grand carré de culture (Plant Species X)",Détail!$B$5:$B$30,0)),0)</f>
        <v/>
      </c>
      <c r="P72" s="7">
        <f>IFERROR(INDEX(Détail!$R$5:$R$30,MATCH("Grand carré de culture (Plant Species X)",Détail!$B$5:$B$30,0)),0)</f>
        <v/>
      </c>
      <c r="Q72" s="14">
        <f>$B72*C72</f>
        <v/>
      </c>
      <c r="R72" s="14">
        <f>$B72*D72</f>
        <v/>
      </c>
      <c r="S72" s="14">
        <f>$B72*E72</f>
        <v/>
      </c>
      <c r="T72" s="14">
        <f>$B72*F72</f>
        <v/>
      </c>
      <c r="U72" s="14">
        <f>$B72*G72</f>
        <v/>
      </c>
      <c r="V72" s="14">
        <f>$B72*H72</f>
        <v/>
      </c>
      <c r="W72" s="14">
        <f>$B72*I72</f>
        <v/>
      </c>
      <c r="X72" s="14">
        <f>$B72*J72</f>
        <v/>
      </c>
      <c r="Y72" s="14">
        <f>$B72*K72</f>
        <v/>
      </c>
      <c r="Z72" s="14">
        <f>$B72*L72</f>
        <v/>
      </c>
      <c r="AA72" s="14">
        <f>$B72*M72</f>
        <v/>
      </c>
      <c r="AB72" s="14">
        <f>$B72*N72</f>
        <v/>
      </c>
      <c r="AC72" s="14">
        <f>$B72*O72</f>
        <v/>
      </c>
      <c r="AD72" s="14">
        <f>$B72*P72</f>
        <v/>
      </c>
    </row>
    <row r="73">
      <c r="A73" s="6" t="inlineStr">
        <is>
          <t>Tourelle lourde (Heavy) (inventaire)</t>
        </is>
      </c>
      <c r="B73" s="16" t="n">
        <v>6</v>
      </c>
      <c r="C73" s="7">
        <f>IFERROR(INDEX(Détail!$E$5:$E$30,MATCH("Tourelle lourde (Heavy)",Détail!$B$5:$B$30,0)),0)</f>
        <v/>
      </c>
      <c r="D73" s="7">
        <f>IFERROR(INDEX(Détail!$F$5:$F$30,MATCH("Tourelle lourde (Heavy)",Détail!$B$5:$B$30,0)),0)</f>
        <v/>
      </c>
      <c r="E73" s="7">
        <f>IFERROR(INDEX(Détail!$G$5:$G$30,MATCH("Tourelle lourde (Heavy)",Détail!$B$5:$B$30,0)),0)</f>
        <v/>
      </c>
      <c r="F73" s="7">
        <f>IFERROR(INDEX(Détail!$H$5:$H$30,MATCH("Tourelle lourde (Heavy)",Détail!$B$5:$B$30,0)),0)</f>
        <v/>
      </c>
      <c r="G73" s="7">
        <f>IFERROR(INDEX(Détail!$I$5:$I$30,MATCH("Tourelle lourde (Heavy)",Détail!$B$5:$B$30,0)),0)</f>
        <v/>
      </c>
      <c r="H73" s="7">
        <f>IFERROR(INDEX(Détail!$J$5:$J$30,MATCH("Tourelle lourde (Heavy)",Détail!$B$5:$B$30,0)),0)</f>
        <v/>
      </c>
      <c r="I73" s="7">
        <f>IFERROR(INDEX(Détail!$K$5:$K$30,MATCH("Tourelle lourde (Heavy)",Détail!$B$5:$B$30,0)),0)</f>
        <v/>
      </c>
      <c r="J73" s="7">
        <f>IFERROR(INDEX(Détail!$L$5:$L$30,MATCH("Tourelle lourde (Heavy)",Détail!$B$5:$B$30,0)),0)</f>
        <v/>
      </c>
      <c r="K73" s="7">
        <f>IFERROR(INDEX(Détail!$M$5:$M$30,MATCH("Tourelle lourde (Heavy)",Détail!$B$5:$B$30,0)),0)</f>
        <v/>
      </c>
      <c r="L73" s="7">
        <f>IFERROR(INDEX(Détail!$N$5:$N$30,MATCH("Tourelle lourde (Heavy)",Détail!$B$5:$B$30,0)),0)</f>
        <v/>
      </c>
      <c r="M73" s="7">
        <f>IFERROR(INDEX(Détail!$O$5:$O$30,MATCH("Tourelle lourde (Heavy)",Détail!$B$5:$B$30,0)),0)</f>
        <v/>
      </c>
      <c r="N73" s="7">
        <f>IFERROR(INDEX(Détail!$P$5:$P$30,MATCH("Tourelle lourde (Heavy)",Détail!$B$5:$B$30,0)),0)</f>
        <v/>
      </c>
      <c r="O73" s="7">
        <f>IFERROR(INDEX(Détail!$Q$5:$Q$30,MATCH("Tourelle lourde (Heavy)",Détail!$B$5:$B$30,0)),0)</f>
        <v/>
      </c>
      <c r="P73" s="7">
        <f>IFERROR(INDEX(Détail!$R$5:$R$30,MATCH("Tourelle lourde (Heavy)",Détail!$B$5:$B$30,0)),0)</f>
        <v/>
      </c>
      <c r="Q73" s="14">
        <f>$B73*C73</f>
        <v/>
      </c>
      <c r="R73" s="14">
        <f>$B73*D73</f>
        <v/>
      </c>
      <c r="S73" s="14">
        <f>$B73*E73</f>
        <v/>
      </c>
      <c r="T73" s="14">
        <f>$B73*F73</f>
        <v/>
      </c>
      <c r="U73" s="14">
        <f>$B73*G73</f>
        <v/>
      </c>
      <c r="V73" s="14">
        <f>$B73*H73</f>
        <v/>
      </c>
      <c r="W73" s="14">
        <f>$B73*I73</f>
        <v/>
      </c>
      <c r="X73" s="14">
        <f>$B73*J73</f>
        <v/>
      </c>
      <c r="Y73" s="14">
        <f>$B73*K73</f>
        <v/>
      </c>
      <c r="Z73" s="14">
        <f>$B73*L73</f>
        <v/>
      </c>
      <c r="AA73" s="14">
        <f>$B73*M73</f>
        <v/>
      </c>
      <c r="AB73" s="14">
        <f>$B73*N73</f>
        <v/>
      </c>
      <c r="AC73" s="14">
        <f>$B73*O73</f>
        <v/>
      </c>
      <c r="AD73" s="14">
        <f>$B73*P73</f>
        <v/>
      </c>
    </row>
    <row r="74">
      <c r="A74" s="6" t="inlineStr">
        <is>
          <t>Tourelle Tek (inventaire)</t>
        </is>
      </c>
      <c r="B74" s="16" t="n">
        <v>6</v>
      </c>
      <c r="C74" s="7">
        <f>IFERROR(INDEX(Détail!$E$5:$E$30,MATCH("Tourelle Tek",Détail!$B$5:$B$30,0)),0)</f>
        <v/>
      </c>
      <c r="D74" s="7">
        <f>IFERROR(INDEX(Détail!$F$5:$F$30,MATCH("Tourelle Tek",Détail!$B$5:$B$30,0)),0)</f>
        <v/>
      </c>
      <c r="E74" s="7">
        <f>IFERROR(INDEX(Détail!$G$5:$G$30,MATCH("Tourelle Tek",Détail!$B$5:$B$30,0)),0)</f>
        <v/>
      </c>
      <c r="F74" s="7">
        <f>IFERROR(INDEX(Détail!$H$5:$H$30,MATCH("Tourelle Tek",Détail!$B$5:$B$30,0)),0)</f>
        <v/>
      </c>
      <c r="G74" s="7">
        <f>IFERROR(INDEX(Détail!$I$5:$I$30,MATCH("Tourelle Tek",Détail!$B$5:$B$30,0)),0)</f>
        <v/>
      </c>
      <c r="H74" s="7">
        <f>IFERROR(INDEX(Détail!$J$5:$J$30,MATCH("Tourelle Tek",Détail!$B$5:$B$30,0)),0)</f>
        <v/>
      </c>
      <c r="I74" s="7">
        <f>IFERROR(INDEX(Détail!$K$5:$K$30,MATCH("Tourelle Tek",Détail!$B$5:$B$30,0)),0)</f>
        <v/>
      </c>
      <c r="J74" s="7">
        <f>IFERROR(INDEX(Détail!$L$5:$L$30,MATCH("Tourelle Tek",Détail!$B$5:$B$30,0)),0)</f>
        <v/>
      </c>
      <c r="K74" s="7">
        <f>IFERROR(INDEX(Détail!$M$5:$M$30,MATCH("Tourelle Tek",Détail!$B$5:$B$30,0)),0)</f>
        <v/>
      </c>
      <c r="L74" s="7">
        <f>IFERROR(INDEX(Détail!$N$5:$N$30,MATCH("Tourelle Tek",Détail!$B$5:$B$30,0)),0)</f>
        <v/>
      </c>
      <c r="M74" s="7">
        <f>IFERROR(INDEX(Détail!$O$5:$O$30,MATCH("Tourelle Tek",Détail!$B$5:$B$30,0)),0)</f>
        <v/>
      </c>
      <c r="N74" s="7">
        <f>IFERROR(INDEX(Détail!$P$5:$P$30,MATCH("Tourelle Tek",Détail!$B$5:$B$30,0)),0)</f>
        <v/>
      </c>
      <c r="O74" s="7">
        <f>IFERROR(INDEX(Détail!$Q$5:$Q$30,MATCH("Tourelle Tek",Détail!$B$5:$B$30,0)),0)</f>
        <v/>
      </c>
      <c r="P74" s="7">
        <f>IFERROR(INDEX(Détail!$R$5:$R$30,MATCH("Tourelle Tek",Détail!$B$5:$B$30,0)),0)</f>
        <v/>
      </c>
      <c r="Q74" s="14">
        <f>$B74*C74</f>
        <v/>
      </c>
      <c r="R74" s="14">
        <f>$B74*D74</f>
        <v/>
      </c>
      <c r="S74" s="14">
        <f>$B74*E74</f>
        <v/>
      </c>
      <c r="T74" s="14">
        <f>$B74*F74</f>
        <v/>
      </c>
      <c r="U74" s="14">
        <f>$B74*G74</f>
        <v/>
      </c>
      <c r="V74" s="14">
        <f>$B74*H74</f>
        <v/>
      </c>
      <c r="W74" s="14">
        <f>$B74*I74</f>
        <v/>
      </c>
      <c r="X74" s="14">
        <f>$B74*J74</f>
        <v/>
      </c>
      <c r="Y74" s="14">
        <f>$B74*K74</f>
        <v/>
      </c>
      <c r="Z74" s="14">
        <f>$B74*L74</f>
        <v/>
      </c>
      <c r="AA74" s="14">
        <f>$B74*M74</f>
        <v/>
      </c>
      <c r="AB74" s="14">
        <f>$B74*N74</f>
        <v/>
      </c>
      <c r="AC74" s="14">
        <f>$B74*O74</f>
        <v/>
      </c>
      <c r="AD74" s="14">
        <f>$B74*P74</f>
        <v/>
      </c>
    </row>
    <row r="75">
      <c r="A75" s="6" t="inlineStr">
        <is>
          <t>Bobine Tesla (inventaire)</t>
        </is>
      </c>
      <c r="B75" s="16" t="n">
        <v>2</v>
      </c>
      <c r="C75" s="7">
        <f>IFERROR(INDEX(Détail!$E$5:$E$30,MATCH("Bobine Tesla",Détail!$B$5:$B$30,0)),0)</f>
        <v/>
      </c>
      <c r="D75" s="7">
        <f>IFERROR(INDEX(Détail!$F$5:$F$30,MATCH("Bobine Tesla",Détail!$B$5:$B$30,0)),0)</f>
        <v/>
      </c>
      <c r="E75" s="7">
        <f>IFERROR(INDEX(Détail!$G$5:$G$30,MATCH("Bobine Tesla",Détail!$B$5:$B$30,0)),0)</f>
        <v/>
      </c>
      <c r="F75" s="7">
        <f>IFERROR(INDEX(Détail!$H$5:$H$30,MATCH("Bobine Tesla",Détail!$B$5:$B$30,0)),0)</f>
        <v/>
      </c>
      <c r="G75" s="7">
        <f>IFERROR(INDEX(Détail!$I$5:$I$30,MATCH("Bobine Tesla",Détail!$B$5:$B$30,0)),0)</f>
        <v/>
      </c>
      <c r="H75" s="7">
        <f>IFERROR(INDEX(Détail!$J$5:$J$30,MATCH("Bobine Tesla",Détail!$B$5:$B$30,0)),0)</f>
        <v/>
      </c>
      <c r="I75" s="7">
        <f>IFERROR(INDEX(Détail!$K$5:$K$30,MATCH("Bobine Tesla",Détail!$B$5:$B$30,0)),0)</f>
        <v/>
      </c>
      <c r="J75" s="7">
        <f>IFERROR(INDEX(Détail!$L$5:$L$30,MATCH("Bobine Tesla",Détail!$B$5:$B$30,0)),0)</f>
        <v/>
      </c>
      <c r="K75" s="7">
        <f>IFERROR(INDEX(Détail!$M$5:$M$30,MATCH("Bobine Tesla",Détail!$B$5:$B$30,0)),0)</f>
        <v/>
      </c>
      <c r="L75" s="7">
        <f>IFERROR(INDEX(Détail!$N$5:$N$30,MATCH("Bobine Tesla",Détail!$B$5:$B$30,0)),0)</f>
        <v/>
      </c>
      <c r="M75" s="7">
        <f>IFERROR(INDEX(Détail!$O$5:$O$30,MATCH("Bobine Tesla",Détail!$B$5:$B$30,0)),0)</f>
        <v/>
      </c>
      <c r="N75" s="7">
        <f>IFERROR(INDEX(Détail!$P$5:$P$30,MATCH("Bobine Tesla",Détail!$B$5:$B$30,0)),0)</f>
        <v/>
      </c>
      <c r="O75" s="7">
        <f>IFERROR(INDEX(Détail!$Q$5:$Q$30,MATCH("Bobine Tesla",Détail!$B$5:$B$30,0)),0)</f>
        <v/>
      </c>
      <c r="P75" s="7">
        <f>IFERROR(INDEX(Détail!$R$5:$R$30,MATCH("Bobine Tesla",Détail!$B$5:$B$30,0)),0)</f>
        <v/>
      </c>
      <c r="Q75" s="14">
        <f>$B75*C75</f>
        <v/>
      </c>
      <c r="R75" s="14">
        <f>$B75*D75</f>
        <v/>
      </c>
      <c r="S75" s="14">
        <f>$B75*E75</f>
        <v/>
      </c>
      <c r="T75" s="14">
        <f>$B75*F75</f>
        <v/>
      </c>
      <c r="U75" s="14">
        <f>$B75*G75</f>
        <v/>
      </c>
      <c r="V75" s="14">
        <f>$B75*H75</f>
        <v/>
      </c>
      <c r="W75" s="14">
        <f>$B75*I75</f>
        <v/>
      </c>
      <c r="X75" s="14">
        <f>$B75*J75</f>
        <v/>
      </c>
      <c r="Y75" s="14">
        <f>$B75*K75</f>
        <v/>
      </c>
      <c r="Z75" s="14">
        <f>$B75*L75</f>
        <v/>
      </c>
      <c r="AA75" s="14">
        <f>$B75*M75</f>
        <v/>
      </c>
      <c r="AB75" s="14">
        <f>$B75*N75</f>
        <v/>
      </c>
      <c r="AC75" s="14">
        <f>$B75*O75</f>
        <v/>
      </c>
      <c r="AD75" s="14">
        <f>$B75*P75</f>
        <v/>
      </c>
    </row>
    <row r="76">
      <c r="A76" s="8" t="inlineStr">
        <is>
          <t>Total</t>
        </is>
      </c>
      <c r="B76" s="9">
        <f>SUM(B72:B75)</f>
        <v/>
      </c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9">
        <f>SUM(Q72:Q75)</f>
        <v/>
      </c>
      <c r="R76" s="9">
        <f>SUM(R72:R75)</f>
        <v/>
      </c>
      <c r="S76" s="9">
        <f>SUM(S72:S75)</f>
        <v/>
      </c>
      <c r="T76" s="9">
        <f>SUM(T72:T75)</f>
        <v/>
      </c>
      <c r="U76" s="9">
        <f>SUM(U72:U75)</f>
        <v/>
      </c>
      <c r="V76" s="9">
        <f>SUM(V72:V75)</f>
        <v/>
      </c>
      <c r="W76" s="9">
        <f>SUM(W72:W75)</f>
        <v/>
      </c>
      <c r="X76" s="9">
        <f>SUM(X72:X75)</f>
        <v/>
      </c>
      <c r="Y76" s="9">
        <f>SUM(Y72:Y75)</f>
        <v/>
      </c>
      <c r="Z76" s="9">
        <f>SUM(Z72:Z75)</f>
        <v/>
      </c>
      <c r="AA76" s="9">
        <f>SUM(AA72:AA75)</f>
        <v/>
      </c>
      <c r="AB76" s="9">
        <f>SUM(AB72:AB75)</f>
        <v/>
      </c>
      <c r="AC76" s="9">
        <f>SUM(AC72:AC75)</f>
        <v/>
      </c>
      <c r="AD76" s="9">
        <f>SUM(AD72:AD75)</f>
        <v/>
      </c>
    </row>
    <row r="77">
      <c r="A77" s="8" t="inlineStr">
        <is>
          <t>À fabriquer (hors tourelles)</t>
        </is>
      </c>
      <c r="B77" s="9">
        <f>SUM(B72:B75)-SUMIF(A72:A75,"* (inventaire)",B72:B75)</f>
        <v/>
      </c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9">
        <f>SUM(Q72:Q75)-SUMIF(A72:A75,"* (inventaire)",Q72:Q75)</f>
        <v/>
      </c>
      <c r="R77" s="9">
        <f>SUM(R72:R75)-SUMIF(A72:A75,"* (inventaire)",R72:R75)</f>
        <v/>
      </c>
      <c r="S77" s="9">
        <f>SUM(S72:S75)-SUMIF(A72:A75,"* (inventaire)",S72:S75)</f>
        <v/>
      </c>
      <c r="T77" s="9">
        <f>SUM(T72:T75)-SUMIF(A72:A75,"* (inventaire)",T72:T75)</f>
        <v/>
      </c>
      <c r="U77" s="9">
        <f>SUM(U72:U75)-SUMIF(A72:A75,"* (inventaire)",U72:U75)</f>
        <v/>
      </c>
      <c r="V77" s="9">
        <f>SUM(V72:V75)-SUMIF(A72:A75,"* (inventaire)",V72:V75)</f>
        <v/>
      </c>
      <c r="W77" s="9">
        <f>SUM(W72:W75)-SUMIF(A72:A75,"* (inventaire)",W72:W75)</f>
        <v/>
      </c>
      <c r="X77" s="9">
        <f>SUM(X72:X75)-SUMIF(A72:A75,"* (inventaire)",X72:X75)</f>
        <v/>
      </c>
      <c r="Y77" s="9">
        <f>SUM(Y72:Y75)-SUMIF(A72:A75,"* (inventaire)",Y72:Y75)</f>
        <v/>
      </c>
      <c r="Z77" s="9">
        <f>SUM(Z72:Z75)-SUMIF(A72:A75,"* (inventaire)",Z72:Z75)</f>
        <v/>
      </c>
      <c r="AA77" s="9">
        <f>SUM(AA72:AA75)-SUMIF(A72:A75,"* (inventaire)",AA72:AA75)</f>
        <v/>
      </c>
      <c r="AB77" s="9">
        <f>SUM(AB72:AB75)-SUMIF(A72:A75,"* (inventaire)",AB72:AB75)</f>
        <v/>
      </c>
      <c r="AC77" s="9">
        <f>SUM(AC72:AC75)-SUMIF(A72:A75,"* (inventaire)",AC72:AC75)</f>
        <v/>
      </c>
      <c r="AD77" s="9">
        <f>SUM(AD72:AD75)-SUMIF(A72:A75,"* (inventaire)",AD72:AD75)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</row>
    <row r="79">
      <c r="A79" s="15" t="inlineStr">
        <is>
          <t>Plan 09 toiture pleine D4-centre</t>
        </is>
      </c>
      <c r="B79" s="2" t="n"/>
      <c r="C79" s="3" t="inlineStr">
        <is>
          <t>335 entrées dans le template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</row>
    <row r="80" ht="30" customHeight="1">
      <c r="A80" s="11" t="inlineStr">
        <is>
          <t>Pièce</t>
        </is>
      </c>
      <c r="B80" s="11" t="inlineStr">
        <is>
          <t>Nombre</t>
        </is>
      </c>
      <c r="C80" s="11" t="inlineStr">
        <is>
          <t>Lingots de métal / u</t>
        </is>
      </c>
      <c r="D80" s="11" t="inlineStr">
        <is>
          <t>Pâte cimentée / u</t>
        </is>
      </c>
      <c r="E80" s="11" t="inlineStr">
        <is>
          <t>Électroniques / u</t>
        </is>
      </c>
      <c r="F80" s="11" t="inlineStr">
        <is>
          <t>Polymère / u</t>
        </is>
      </c>
      <c r="G80" s="11" t="inlineStr">
        <is>
          <t>Cristal / u</t>
        </is>
      </c>
      <c r="H80" s="11" t="inlineStr">
        <is>
          <t>Élément / u</t>
        </is>
      </c>
      <c r="I80" s="11" t="inlineStr">
        <is>
          <t>Perles noires / u</t>
        </is>
      </c>
      <c r="J80" s="11" t="inlineStr">
        <is>
          <t>Huile / u</t>
        </is>
      </c>
      <c r="K80" s="11" t="inlineStr">
        <is>
          <t>Poudre étincelante / u</t>
        </is>
      </c>
      <c r="L80" s="11" t="inlineStr">
        <is>
          <t>Cuir / u</t>
        </is>
      </c>
      <c r="M80" s="11" t="inlineStr">
        <is>
          <t>Fibre / u</t>
        </is>
      </c>
      <c r="N80" s="11" t="inlineStr">
        <is>
          <t>Chaume / u</t>
        </is>
      </c>
      <c r="O80" s="11" t="inlineStr">
        <is>
          <t>Bois / u</t>
        </is>
      </c>
      <c r="P80" s="11" t="inlineStr">
        <is>
          <t>Pierre / u</t>
        </is>
      </c>
      <c r="Q80" s="11" t="inlineStr">
        <is>
          <t>Lingots de métal total</t>
        </is>
      </c>
      <c r="R80" s="11" t="inlineStr">
        <is>
          <t>Pâte cimentée total</t>
        </is>
      </c>
      <c r="S80" s="11" t="inlineStr">
        <is>
          <t>Électroniques total</t>
        </is>
      </c>
      <c r="T80" s="11" t="inlineStr">
        <is>
          <t>Polymère total</t>
        </is>
      </c>
      <c r="U80" s="11" t="inlineStr">
        <is>
          <t>Cristal total</t>
        </is>
      </c>
      <c r="V80" s="11" t="inlineStr">
        <is>
          <t>Élément total</t>
        </is>
      </c>
      <c r="W80" s="11" t="inlineStr">
        <is>
          <t>Perles noires total</t>
        </is>
      </c>
      <c r="X80" s="11" t="inlineStr">
        <is>
          <t>Huile total</t>
        </is>
      </c>
      <c r="Y80" s="11" t="inlineStr">
        <is>
          <t>Poudre étincelante total</t>
        </is>
      </c>
      <c r="Z80" s="11" t="inlineStr">
        <is>
          <t>Cuir total</t>
        </is>
      </c>
      <c r="AA80" s="11" t="inlineStr">
        <is>
          <t>Fibre total</t>
        </is>
      </c>
      <c r="AB80" s="11" t="inlineStr">
        <is>
          <t>Chaume total</t>
        </is>
      </c>
      <c r="AC80" s="11" t="inlineStr">
        <is>
          <t>Bois total</t>
        </is>
      </c>
      <c r="AD80" s="11" t="inlineStr">
        <is>
          <t>Pierre total</t>
        </is>
      </c>
    </row>
    <row r="81">
      <c r="A81" s="6" t="inlineStr">
        <is>
          <t>Plafond triangle métal</t>
        </is>
      </c>
      <c r="B81" s="16" t="n">
        <v>174</v>
      </c>
      <c r="C81" s="7">
        <f>IFERROR(INDEX(Détail!$E$5:$E$30,MATCH("Plafond triangle métal",Détail!$B$5:$B$30,0)),0)</f>
        <v/>
      </c>
      <c r="D81" s="7">
        <f>IFERROR(INDEX(Détail!$F$5:$F$30,MATCH("Plafond triangle métal",Détail!$B$5:$B$30,0)),0)</f>
        <v/>
      </c>
      <c r="E81" s="7">
        <f>IFERROR(INDEX(Détail!$G$5:$G$30,MATCH("Plafond triangle métal",Détail!$B$5:$B$30,0)),0)</f>
        <v/>
      </c>
      <c r="F81" s="7">
        <f>IFERROR(INDEX(Détail!$H$5:$H$30,MATCH("Plafond triangle métal",Détail!$B$5:$B$30,0)),0)</f>
        <v/>
      </c>
      <c r="G81" s="7">
        <f>IFERROR(INDEX(Détail!$I$5:$I$30,MATCH("Plafond triangle métal",Détail!$B$5:$B$30,0)),0)</f>
        <v/>
      </c>
      <c r="H81" s="7">
        <f>IFERROR(INDEX(Détail!$J$5:$J$30,MATCH("Plafond triangle métal",Détail!$B$5:$B$30,0)),0)</f>
        <v/>
      </c>
      <c r="I81" s="7">
        <f>IFERROR(INDEX(Détail!$K$5:$K$30,MATCH("Plafond triangle métal",Détail!$B$5:$B$30,0)),0)</f>
        <v/>
      </c>
      <c r="J81" s="7">
        <f>IFERROR(INDEX(Détail!$L$5:$L$30,MATCH("Plafond triangle métal",Détail!$B$5:$B$30,0)),0)</f>
        <v/>
      </c>
      <c r="K81" s="7">
        <f>IFERROR(INDEX(Détail!$M$5:$M$30,MATCH("Plafond triangle métal",Détail!$B$5:$B$30,0)),0)</f>
        <v/>
      </c>
      <c r="L81" s="7">
        <f>IFERROR(INDEX(Détail!$N$5:$N$30,MATCH("Plafond triangle métal",Détail!$B$5:$B$30,0)),0)</f>
        <v/>
      </c>
      <c r="M81" s="7">
        <f>IFERROR(INDEX(Détail!$O$5:$O$30,MATCH("Plafond triangle métal",Détail!$B$5:$B$30,0)),0)</f>
        <v/>
      </c>
      <c r="N81" s="7">
        <f>IFERROR(INDEX(Détail!$P$5:$P$30,MATCH("Plafond triangle métal",Détail!$B$5:$B$30,0)),0)</f>
        <v/>
      </c>
      <c r="O81" s="7">
        <f>IFERROR(INDEX(Détail!$Q$5:$Q$30,MATCH("Plafond triangle métal",Détail!$B$5:$B$30,0)),0)</f>
        <v/>
      </c>
      <c r="P81" s="7">
        <f>IFERROR(INDEX(Détail!$R$5:$R$30,MATCH("Plafond triangle métal",Détail!$B$5:$B$30,0)),0)</f>
        <v/>
      </c>
      <c r="Q81" s="14">
        <f>$B81*C81</f>
        <v/>
      </c>
      <c r="R81" s="14">
        <f>$B81*D81</f>
        <v/>
      </c>
      <c r="S81" s="14">
        <f>$B81*E81</f>
        <v/>
      </c>
      <c r="T81" s="14">
        <f>$B81*F81</f>
        <v/>
      </c>
      <c r="U81" s="14">
        <f>$B81*G81</f>
        <v/>
      </c>
      <c r="V81" s="14">
        <f>$B81*H81</f>
        <v/>
      </c>
      <c r="W81" s="14">
        <f>$B81*I81</f>
        <v/>
      </c>
      <c r="X81" s="14">
        <f>$B81*J81</f>
        <v/>
      </c>
      <c r="Y81" s="14">
        <f>$B81*K81</f>
        <v/>
      </c>
      <c r="Z81" s="14">
        <f>$B81*L81</f>
        <v/>
      </c>
      <c r="AA81" s="14">
        <f>$B81*M81</f>
        <v/>
      </c>
      <c r="AB81" s="14">
        <f>$B81*N81</f>
        <v/>
      </c>
      <c r="AC81" s="14">
        <f>$B81*O81</f>
        <v/>
      </c>
      <c r="AD81" s="14">
        <f>$B81*P81</f>
        <v/>
      </c>
    </row>
    <row r="82">
      <c r="A82" s="6" t="inlineStr">
        <is>
          <t>Plafond métal</t>
        </is>
      </c>
      <c r="B82" s="16" t="n">
        <v>86</v>
      </c>
      <c r="C82" s="7">
        <f>IFERROR(INDEX(Détail!$E$5:$E$30,MATCH("Plafond métal",Détail!$B$5:$B$30,0)),0)</f>
        <v/>
      </c>
      <c r="D82" s="7">
        <f>IFERROR(INDEX(Détail!$F$5:$F$30,MATCH("Plafond métal",Détail!$B$5:$B$30,0)),0)</f>
        <v/>
      </c>
      <c r="E82" s="7">
        <f>IFERROR(INDEX(Détail!$G$5:$G$30,MATCH("Plafond métal",Détail!$B$5:$B$30,0)),0)</f>
        <v/>
      </c>
      <c r="F82" s="7">
        <f>IFERROR(INDEX(Détail!$H$5:$H$30,MATCH("Plafond métal",Détail!$B$5:$B$30,0)),0)</f>
        <v/>
      </c>
      <c r="G82" s="7">
        <f>IFERROR(INDEX(Détail!$I$5:$I$30,MATCH("Plafond métal",Détail!$B$5:$B$30,0)),0)</f>
        <v/>
      </c>
      <c r="H82" s="7">
        <f>IFERROR(INDEX(Détail!$J$5:$J$30,MATCH("Plafond métal",Détail!$B$5:$B$30,0)),0)</f>
        <v/>
      </c>
      <c r="I82" s="7">
        <f>IFERROR(INDEX(Détail!$K$5:$K$30,MATCH("Plafond métal",Détail!$B$5:$B$30,0)),0)</f>
        <v/>
      </c>
      <c r="J82" s="7">
        <f>IFERROR(INDEX(Détail!$L$5:$L$30,MATCH("Plafond métal",Détail!$B$5:$B$30,0)),0)</f>
        <v/>
      </c>
      <c r="K82" s="7">
        <f>IFERROR(INDEX(Détail!$M$5:$M$30,MATCH("Plafond métal",Détail!$B$5:$B$30,0)),0)</f>
        <v/>
      </c>
      <c r="L82" s="7">
        <f>IFERROR(INDEX(Détail!$N$5:$N$30,MATCH("Plafond métal",Détail!$B$5:$B$30,0)),0)</f>
        <v/>
      </c>
      <c r="M82" s="7">
        <f>IFERROR(INDEX(Détail!$O$5:$O$30,MATCH("Plafond métal",Détail!$B$5:$B$30,0)),0)</f>
        <v/>
      </c>
      <c r="N82" s="7">
        <f>IFERROR(INDEX(Détail!$P$5:$P$30,MATCH("Plafond métal",Détail!$B$5:$B$30,0)),0)</f>
        <v/>
      </c>
      <c r="O82" s="7">
        <f>IFERROR(INDEX(Détail!$Q$5:$Q$30,MATCH("Plafond métal",Détail!$B$5:$B$30,0)),0)</f>
        <v/>
      </c>
      <c r="P82" s="7">
        <f>IFERROR(INDEX(Détail!$R$5:$R$30,MATCH("Plafond métal",Détail!$B$5:$B$30,0)),0)</f>
        <v/>
      </c>
      <c r="Q82" s="14">
        <f>$B82*C82</f>
        <v/>
      </c>
      <c r="R82" s="14">
        <f>$B82*D82</f>
        <v/>
      </c>
      <c r="S82" s="14">
        <f>$B82*E82</f>
        <v/>
      </c>
      <c r="T82" s="14">
        <f>$B82*F82</f>
        <v/>
      </c>
      <c r="U82" s="14">
        <f>$B82*G82</f>
        <v/>
      </c>
      <c r="V82" s="14">
        <f>$B82*H82</f>
        <v/>
      </c>
      <c r="W82" s="14">
        <f>$B82*I82</f>
        <v/>
      </c>
      <c r="X82" s="14">
        <f>$B82*J82</f>
        <v/>
      </c>
      <c r="Y82" s="14">
        <f>$B82*K82</f>
        <v/>
      </c>
      <c r="Z82" s="14">
        <f>$B82*L82</f>
        <v/>
      </c>
      <c r="AA82" s="14">
        <f>$B82*M82</f>
        <v/>
      </c>
      <c r="AB82" s="14">
        <f>$B82*N82</f>
        <v/>
      </c>
      <c r="AC82" s="14">
        <f>$B82*O82</f>
        <v/>
      </c>
      <c r="AD82" s="14">
        <f>$B82*P82</f>
        <v/>
      </c>
    </row>
    <row r="83">
      <c r="A83" s="6" t="inlineStr">
        <is>
          <t>Mur métal</t>
        </is>
      </c>
      <c r="B83" s="16" t="n">
        <v>50</v>
      </c>
      <c r="C83" s="7">
        <f>IFERROR(INDEX(Détail!$E$5:$E$30,MATCH("Mur métal",Détail!$B$5:$B$30,0)),0)</f>
        <v/>
      </c>
      <c r="D83" s="7">
        <f>IFERROR(INDEX(Détail!$F$5:$F$30,MATCH("Mur métal",Détail!$B$5:$B$30,0)),0)</f>
        <v/>
      </c>
      <c r="E83" s="7">
        <f>IFERROR(INDEX(Détail!$G$5:$G$30,MATCH("Mur métal",Détail!$B$5:$B$30,0)),0)</f>
        <v/>
      </c>
      <c r="F83" s="7">
        <f>IFERROR(INDEX(Détail!$H$5:$H$30,MATCH("Mur métal",Détail!$B$5:$B$30,0)),0)</f>
        <v/>
      </c>
      <c r="G83" s="7">
        <f>IFERROR(INDEX(Détail!$I$5:$I$30,MATCH("Mur métal",Détail!$B$5:$B$30,0)),0)</f>
        <v/>
      </c>
      <c r="H83" s="7">
        <f>IFERROR(INDEX(Détail!$J$5:$J$30,MATCH("Mur métal",Détail!$B$5:$B$30,0)),0)</f>
        <v/>
      </c>
      <c r="I83" s="7">
        <f>IFERROR(INDEX(Détail!$K$5:$K$30,MATCH("Mur métal",Détail!$B$5:$B$30,0)),0)</f>
        <v/>
      </c>
      <c r="J83" s="7">
        <f>IFERROR(INDEX(Détail!$L$5:$L$30,MATCH("Mur métal",Détail!$B$5:$B$30,0)),0)</f>
        <v/>
      </c>
      <c r="K83" s="7">
        <f>IFERROR(INDEX(Détail!$M$5:$M$30,MATCH("Mur métal",Détail!$B$5:$B$30,0)),0)</f>
        <v/>
      </c>
      <c r="L83" s="7">
        <f>IFERROR(INDEX(Détail!$N$5:$N$30,MATCH("Mur métal",Détail!$B$5:$B$30,0)),0)</f>
        <v/>
      </c>
      <c r="M83" s="7">
        <f>IFERROR(INDEX(Détail!$O$5:$O$30,MATCH("Mur métal",Détail!$B$5:$B$30,0)),0)</f>
        <v/>
      </c>
      <c r="N83" s="7">
        <f>IFERROR(INDEX(Détail!$P$5:$P$30,MATCH("Mur métal",Détail!$B$5:$B$30,0)),0)</f>
        <v/>
      </c>
      <c r="O83" s="7">
        <f>IFERROR(INDEX(Détail!$Q$5:$Q$30,MATCH("Mur métal",Détail!$B$5:$B$30,0)),0)</f>
        <v/>
      </c>
      <c r="P83" s="7">
        <f>IFERROR(INDEX(Détail!$R$5:$R$30,MATCH("Mur métal",Détail!$B$5:$B$30,0)),0)</f>
        <v/>
      </c>
      <c r="Q83" s="14">
        <f>$B83*C83</f>
        <v/>
      </c>
      <c r="R83" s="14">
        <f>$B83*D83</f>
        <v/>
      </c>
      <c r="S83" s="14">
        <f>$B83*E83</f>
        <v/>
      </c>
      <c r="T83" s="14">
        <f>$B83*F83</f>
        <v/>
      </c>
      <c r="U83" s="14">
        <f>$B83*G83</f>
        <v/>
      </c>
      <c r="V83" s="14">
        <f>$B83*H83</f>
        <v/>
      </c>
      <c r="W83" s="14">
        <f>$B83*I83</f>
        <v/>
      </c>
      <c r="X83" s="14">
        <f>$B83*J83</f>
        <v/>
      </c>
      <c r="Y83" s="14">
        <f>$B83*K83</f>
        <v/>
      </c>
      <c r="Z83" s="14">
        <f>$B83*L83</f>
        <v/>
      </c>
      <c r="AA83" s="14">
        <f>$B83*M83</f>
        <v/>
      </c>
      <c r="AB83" s="14">
        <f>$B83*N83</f>
        <v/>
      </c>
      <c r="AC83" s="14">
        <f>$B83*O83</f>
        <v/>
      </c>
      <c r="AD83" s="14">
        <f>$B83*P83</f>
        <v/>
      </c>
    </row>
    <row r="84">
      <c r="A84" s="6" t="inlineStr">
        <is>
          <t>Pilier métal</t>
        </is>
      </c>
      <c r="B84" s="16" t="n">
        <v>24</v>
      </c>
      <c r="C84" s="7">
        <f>IFERROR(INDEX(Détail!$E$5:$E$30,MATCH("Pilier métal",Détail!$B$5:$B$30,0)),0)</f>
        <v/>
      </c>
      <c r="D84" s="7">
        <f>IFERROR(INDEX(Détail!$F$5:$F$30,MATCH("Pilier métal",Détail!$B$5:$B$30,0)),0)</f>
        <v/>
      </c>
      <c r="E84" s="7">
        <f>IFERROR(INDEX(Détail!$G$5:$G$30,MATCH("Pilier métal",Détail!$B$5:$B$30,0)),0)</f>
        <v/>
      </c>
      <c r="F84" s="7">
        <f>IFERROR(INDEX(Détail!$H$5:$H$30,MATCH("Pilier métal",Détail!$B$5:$B$30,0)),0)</f>
        <v/>
      </c>
      <c r="G84" s="7">
        <f>IFERROR(INDEX(Détail!$I$5:$I$30,MATCH("Pilier métal",Détail!$B$5:$B$30,0)),0)</f>
        <v/>
      </c>
      <c r="H84" s="7">
        <f>IFERROR(INDEX(Détail!$J$5:$J$30,MATCH("Pilier métal",Détail!$B$5:$B$30,0)),0)</f>
        <v/>
      </c>
      <c r="I84" s="7">
        <f>IFERROR(INDEX(Détail!$K$5:$K$30,MATCH("Pilier métal",Détail!$B$5:$B$30,0)),0)</f>
        <v/>
      </c>
      <c r="J84" s="7">
        <f>IFERROR(INDEX(Détail!$L$5:$L$30,MATCH("Pilier métal",Détail!$B$5:$B$30,0)),0)</f>
        <v/>
      </c>
      <c r="K84" s="7">
        <f>IFERROR(INDEX(Détail!$M$5:$M$30,MATCH("Pilier métal",Détail!$B$5:$B$30,0)),0)</f>
        <v/>
      </c>
      <c r="L84" s="7">
        <f>IFERROR(INDEX(Détail!$N$5:$N$30,MATCH("Pilier métal",Détail!$B$5:$B$30,0)),0)</f>
        <v/>
      </c>
      <c r="M84" s="7">
        <f>IFERROR(INDEX(Détail!$O$5:$O$30,MATCH("Pilier métal",Détail!$B$5:$B$30,0)),0)</f>
        <v/>
      </c>
      <c r="N84" s="7">
        <f>IFERROR(INDEX(Détail!$P$5:$P$30,MATCH("Pilier métal",Détail!$B$5:$B$30,0)),0)</f>
        <v/>
      </c>
      <c r="O84" s="7">
        <f>IFERROR(INDEX(Détail!$Q$5:$Q$30,MATCH("Pilier métal",Détail!$B$5:$B$30,0)),0)</f>
        <v/>
      </c>
      <c r="P84" s="7">
        <f>IFERROR(INDEX(Détail!$R$5:$R$30,MATCH("Pilier métal",Détail!$B$5:$B$30,0)),0)</f>
        <v/>
      </c>
      <c r="Q84" s="14">
        <f>$B84*C84</f>
        <v/>
      </c>
      <c r="R84" s="14">
        <f>$B84*D84</f>
        <v/>
      </c>
      <c r="S84" s="14">
        <f>$B84*E84</f>
        <v/>
      </c>
      <c r="T84" s="14">
        <f>$B84*F84</f>
        <v/>
      </c>
      <c r="U84" s="14">
        <f>$B84*G84</f>
        <v/>
      </c>
      <c r="V84" s="14">
        <f>$B84*H84</f>
        <v/>
      </c>
      <c r="W84" s="14">
        <f>$B84*I84</f>
        <v/>
      </c>
      <c r="X84" s="14">
        <f>$B84*J84</f>
        <v/>
      </c>
      <c r="Y84" s="14">
        <f>$B84*K84</f>
        <v/>
      </c>
      <c r="Z84" s="14">
        <f>$B84*L84</f>
        <v/>
      </c>
      <c r="AA84" s="14">
        <f>$B84*M84</f>
        <v/>
      </c>
      <c r="AB84" s="14">
        <f>$B84*N84</f>
        <v/>
      </c>
      <c r="AC84" s="14">
        <f>$B84*O84</f>
        <v/>
      </c>
      <c r="AD84" s="14">
        <f>$B84*P84</f>
        <v/>
      </c>
    </row>
    <row r="85">
      <c r="A85" s="6" t="inlineStr">
        <is>
          <t>Plafond à trappe métal</t>
        </is>
      </c>
      <c r="B85" s="16" t="n">
        <v>1</v>
      </c>
      <c r="C85" s="7">
        <f>IFERROR(INDEX(Détail!$E$5:$E$30,MATCH("Plafond à trappe métal",Détail!$B$5:$B$30,0)),0)</f>
        <v/>
      </c>
      <c r="D85" s="7">
        <f>IFERROR(INDEX(Détail!$F$5:$F$30,MATCH("Plafond à trappe métal",Détail!$B$5:$B$30,0)),0)</f>
        <v/>
      </c>
      <c r="E85" s="7">
        <f>IFERROR(INDEX(Détail!$G$5:$G$30,MATCH("Plafond à trappe métal",Détail!$B$5:$B$30,0)),0)</f>
        <v/>
      </c>
      <c r="F85" s="7">
        <f>IFERROR(INDEX(Détail!$H$5:$H$30,MATCH("Plafond à trappe métal",Détail!$B$5:$B$30,0)),0)</f>
        <v/>
      </c>
      <c r="G85" s="7">
        <f>IFERROR(INDEX(Détail!$I$5:$I$30,MATCH("Plafond à trappe métal",Détail!$B$5:$B$30,0)),0)</f>
        <v/>
      </c>
      <c r="H85" s="7">
        <f>IFERROR(INDEX(Détail!$J$5:$J$30,MATCH("Plafond à trappe métal",Détail!$B$5:$B$30,0)),0)</f>
        <v/>
      </c>
      <c r="I85" s="7">
        <f>IFERROR(INDEX(Détail!$K$5:$K$30,MATCH("Plafond à trappe métal",Détail!$B$5:$B$30,0)),0)</f>
        <v/>
      </c>
      <c r="J85" s="7">
        <f>IFERROR(INDEX(Détail!$L$5:$L$30,MATCH("Plafond à trappe métal",Détail!$B$5:$B$30,0)),0)</f>
        <v/>
      </c>
      <c r="K85" s="7">
        <f>IFERROR(INDEX(Détail!$M$5:$M$30,MATCH("Plafond à trappe métal",Détail!$B$5:$B$30,0)),0)</f>
        <v/>
      </c>
      <c r="L85" s="7">
        <f>IFERROR(INDEX(Détail!$N$5:$N$30,MATCH("Plafond à trappe métal",Détail!$B$5:$B$30,0)),0)</f>
        <v/>
      </c>
      <c r="M85" s="7">
        <f>IFERROR(INDEX(Détail!$O$5:$O$30,MATCH("Plafond à trappe métal",Détail!$B$5:$B$30,0)),0)</f>
        <v/>
      </c>
      <c r="N85" s="7">
        <f>IFERROR(INDEX(Détail!$P$5:$P$30,MATCH("Plafond à trappe métal",Détail!$B$5:$B$30,0)),0)</f>
        <v/>
      </c>
      <c r="O85" s="7">
        <f>IFERROR(INDEX(Détail!$Q$5:$Q$30,MATCH("Plafond à trappe métal",Détail!$B$5:$B$30,0)),0)</f>
        <v/>
      </c>
      <c r="P85" s="7">
        <f>IFERROR(INDEX(Détail!$R$5:$R$30,MATCH("Plafond à trappe métal",Détail!$B$5:$B$30,0)),0)</f>
        <v/>
      </c>
      <c r="Q85" s="14">
        <f>$B85*C85</f>
        <v/>
      </c>
      <c r="R85" s="14">
        <f>$B85*D85</f>
        <v/>
      </c>
      <c r="S85" s="14">
        <f>$B85*E85</f>
        <v/>
      </c>
      <c r="T85" s="14">
        <f>$B85*F85</f>
        <v/>
      </c>
      <c r="U85" s="14">
        <f>$B85*G85</f>
        <v/>
      </c>
      <c r="V85" s="14">
        <f>$B85*H85</f>
        <v/>
      </c>
      <c r="W85" s="14">
        <f>$B85*I85</f>
        <v/>
      </c>
      <c r="X85" s="14">
        <f>$B85*J85</f>
        <v/>
      </c>
      <c r="Y85" s="14">
        <f>$B85*K85</f>
        <v/>
      </c>
      <c r="Z85" s="14">
        <f>$B85*L85</f>
        <v/>
      </c>
      <c r="AA85" s="14">
        <f>$B85*M85</f>
        <v/>
      </c>
      <c r="AB85" s="14">
        <f>$B85*N85</f>
        <v/>
      </c>
      <c r="AC85" s="14">
        <f>$B85*O85</f>
        <v/>
      </c>
      <c r="AD85" s="14">
        <f>$B85*P85</f>
        <v/>
      </c>
    </row>
    <row r="86">
      <c r="A86" s="8" t="inlineStr">
        <is>
          <t>Total</t>
        </is>
      </c>
      <c r="B86" s="9">
        <f>SUM(B81:B85)</f>
        <v/>
      </c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9">
        <f>SUM(Q81:Q85)</f>
        <v/>
      </c>
      <c r="R86" s="9">
        <f>SUM(R81:R85)</f>
        <v/>
      </c>
      <c r="S86" s="9">
        <f>SUM(S81:S85)</f>
        <v/>
      </c>
      <c r="T86" s="9">
        <f>SUM(T81:T85)</f>
        <v/>
      </c>
      <c r="U86" s="9">
        <f>SUM(U81:U85)</f>
        <v/>
      </c>
      <c r="V86" s="9">
        <f>SUM(V81:V85)</f>
        <v/>
      </c>
      <c r="W86" s="9">
        <f>SUM(W81:W85)</f>
        <v/>
      </c>
      <c r="X86" s="9">
        <f>SUM(X81:X85)</f>
        <v/>
      </c>
      <c r="Y86" s="9">
        <f>SUM(Y81:Y85)</f>
        <v/>
      </c>
      <c r="Z86" s="9">
        <f>SUM(Z81:Z85)</f>
        <v/>
      </c>
      <c r="AA86" s="9">
        <f>SUM(AA81:AA85)</f>
        <v/>
      </c>
      <c r="AB86" s="9">
        <f>SUM(AB81:AB85)</f>
        <v/>
      </c>
      <c r="AC86" s="9">
        <f>SUM(AC81:AC85)</f>
        <v/>
      </c>
      <c r="AD86" s="9">
        <f>SUM(AD81:AD85)</f>
        <v/>
      </c>
    </row>
    <row r="87">
      <c r="A87" s="8" t="inlineStr">
        <is>
          <t>À fabriquer (hors tourelles)</t>
        </is>
      </c>
      <c r="B87" s="9">
        <f>SUM(B81:B85)-SUMIF(A81:A85,"* (inventaire)",B81:B85)</f>
        <v/>
      </c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9">
        <f>SUM(Q81:Q85)-SUMIF(A81:A85,"* (inventaire)",Q81:Q85)</f>
        <v/>
      </c>
      <c r="R87" s="9">
        <f>SUM(R81:R85)-SUMIF(A81:A85,"* (inventaire)",R81:R85)</f>
        <v/>
      </c>
      <c r="S87" s="9">
        <f>SUM(S81:S85)-SUMIF(A81:A85,"* (inventaire)",S81:S85)</f>
        <v/>
      </c>
      <c r="T87" s="9">
        <f>SUM(T81:T85)-SUMIF(A81:A85,"* (inventaire)",T81:T85)</f>
        <v/>
      </c>
      <c r="U87" s="9">
        <f>SUM(U81:U85)-SUMIF(A81:A85,"* (inventaire)",U81:U85)</f>
        <v/>
      </c>
      <c r="V87" s="9">
        <f>SUM(V81:V85)-SUMIF(A81:A85,"* (inventaire)",V81:V85)</f>
        <v/>
      </c>
      <c r="W87" s="9">
        <f>SUM(W81:W85)-SUMIF(A81:A85,"* (inventaire)",W81:W85)</f>
        <v/>
      </c>
      <c r="X87" s="9">
        <f>SUM(X81:X85)-SUMIF(A81:A85,"* (inventaire)",X81:X85)</f>
        <v/>
      </c>
      <c r="Y87" s="9">
        <f>SUM(Y81:Y85)-SUMIF(A81:A85,"* (inventaire)",Y81:Y85)</f>
        <v/>
      </c>
      <c r="Z87" s="9">
        <f>SUM(Z81:Z85)-SUMIF(A81:A85,"* (inventaire)",Z81:Z85)</f>
        <v/>
      </c>
      <c r="AA87" s="9">
        <f>SUM(AA81:AA85)-SUMIF(A81:A85,"* (inventaire)",AA81:AA85)</f>
        <v/>
      </c>
      <c r="AB87" s="9">
        <f>SUM(AB81:AB85)-SUMIF(A81:A85,"* (inventaire)",AB81:AB85)</f>
        <v/>
      </c>
      <c r="AC87" s="9">
        <f>SUM(AC81:AC85)-SUMIF(A81:A85,"* (inventaire)",AC81:AC85)</f>
        <v/>
      </c>
      <c r="AD87" s="9">
        <f>SUM(AD81:AD85)-SUMIF(A81:A85,"* (inventaire)",AD81:AD85)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</row>
    <row r="89">
      <c r="A89" s="15" t="inlineStr">
        <is>
          <t>Plan 10 toit en rampes D4-centre</t>
        </is>
      </c>
      <c r="B89" s="2" t="n"/>
      <c r="C89" s="3" t="inlineStr">
        <is>
          <t>467 entrées dans le template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</row>
    <row r="90" ht="30" customHeight="1">
      <c r="A90" s="11" t="inlineStr">
        <is>
          <t>Pièce</t>
        </is>
      </c>
      <c r="B90" s="11" t="inlineStr">
        <is>
          <t>Nombre</t>
        </is>
      </c>
      <c r="C90" s="11" t="inlineStr">
        <is>
          <t>Lingots de métal / u</t>
        </is>
      </c>
      <c r="D90" s="11" t="inlineStr">
        <is>
          <t>Pâte cimentée / u</t>
        </is>
      </c>
      <c r="E90" s="11" t="inlineStr">
        <is>
          <t>Électroniques / u</t>
        </is>
      </c>
      <c r="F90" s="11" t="inlineStr">
        <is>
          <t>Polymère / u</t>
        </is>
      </c>
      <c r="G90" s="11" t="inlineStr">
        <is>
          <t>Cristal / u</t>
        </is>
      </c>
      <c r="H90" s="11" t="inlineStr">
        <is>
          <t>Élément / u</t>
        </is>
      </c>
      <c r="I90" s="11" t="inlineStr">
        <is>
          <t>Perles noires / u</t>
        </is>
      </c>
      <c r="J90" s="11" t="inlineStr">
        <is>
          <t>Huile / u</t>
        </is>
      </c>
      <c r="K90" s="11" t="inlineStr">
        <is>
          <t>Poudre étincelante / u</t>
        </is>
      </c>
      <c r="L90" s="11" t="inlineStr">
        <is>
          <t>Cuir / u</t>
        </is>
      </c>
      <c r="M90" s="11" t="inlineStr">
        <is>
          <t>Fibre / u</t>
        </is>
      </c>
      <c r="N90" s="11" t="inlineStr">
        <is>
          <t>Chaume / u</t>
        </is>
      </c>
      <c r="O90" s="11" t="inlineStr">
        <is>
          <t>Bois / u</t>
        </is>
      </c>
      <c r="P90" s="11" t="inlineStr">
        <is>
          <t>Pierre / u</t>
        </is>
      </c>
      <c r="Q90" s="11" t="inlineStr">
        <is>
          <t>Lingots de métal total</t>
        </is>
      </c>
      <c r="R90" s="11" t="inlineStr">
        <is>
          <t>Pâte cimentée total</t>
        </is>
      </c>
      <c r="S90" s="11" t="inlineStr">
        <is>
          <t>Électroniques total</t>
        </is>
      </c>
      <c r="T90" s="11" t="inlineStr">
        <is>
          <t>Polymère total</t>
        </is>
      </c>
      <c r="U90" s="11" t="inlineStr">
        <is>
          <t>Cristal total</t>
        </is>
      </c>
      <c r="V90" s="11" t="inlineStr">
        <is>
          <t>Élément total</t>
        </is>
      </c>
      <c r="W90" s="11" t="inlineStr">
        <is>
          <t>Perles noires total</t>
        </is>
      </c>
      <c r="X90" s="11" t="inlineStr">
        <is>
          <t>Huile total</t>
        </is>
      </c>
      <c r="Y90" s="11" t="inlineStr">
        <is>
          <t>Poudre étincelante total</t>
        </is>
      </c>
      <c r="Z90" s="11" t="inlineStr">
        <is>
          <t>Cuir total</t>
        </is>
      </c>
      <c r="AA90" s="11" t="inlineStr">
        <is>
          <t>Fibre total</t>
        </is>
      </c>
      <c r="AB90" s="11" t="inlineStr">
        <is>
          <t>Chaume total</t>
        </is>
      </c>
      <c r="AC90" s="11" t="inlineStr">
        <is>
          <t>Bois total</t>
        </is>
      </c>
      <c r="AD90" s="11" t="inlineStr">
        <is>
          <t>Pierre total</t>
        </is>
      </c>
    </row>
    <row r="91">
      <c r="A91" s="6" t="inlineStr">
        <is>
          <t>Pilier fin métal (Thin Pillar)</t>
        </is>
      </c>
      <c r="B91" s="16" t="n">
        <v>288</v>
      </c>
      <c r="C91" s="7">
        <f>IFERROR(INDEX(Détail!$E$5:$E$30,MATCH("Pilier fin métal (Thin Pillar)",Détail!$B$5:$B$30,0)),0)</f>
        <v/>
      </c>
      <c r="D91" s="7">
        <f>IFERROR(INDEX(Détail!$F$5:$F$30,MATCH("Pilier fin métal (Thin Pillar)",Détail!$B$5:$B$30,0)),0)</f>
        <v/>
      </c>
      <c r="E91" s="7">
        <f>IFERROR(INDEX(Détail!$G$5:$G$30,MATCH("Pilier fin métal (Thin Pillar)",Détail!$B$5:$B$30,0)),0)</f>
        <v/>
      </c>
      <c r="F91" s="7">
        <f>IFERROR(INDEX(Détail!$H$5:$H$30,MATCH("Pilier fin métal (Thin Pillar)",Détail!$B$5:$B$30,0)),0)</f>
        <v/>
      </c>
      <c r="G91" s="7">
        <f>IFERROR(INDEX(Détail!$I$5:$I$30,MATCH("Pilier fin métal (Thin Pillar)",Détail!$B$5:$B$30,0)),0)</f>
        <v/>
      </c>
      <c r="H91" s="7">
        <f>IFERROR(INDEX(Détail!$J$5:$J$30,MATCH("Pilier fin métal (Thin Pillar)",Détail!$B$5:$B$30,0)),0)</f>
        <v/>
      </c>
      <c r="I91" s="7">
        <f>IFERROR(INDEX(Détail!$K$5:$K$30,MATCH("Pilier fin métal (Thin Pillar)",Détail!$B$5:$B$30,0)),0)</f>
        <v/>
      </c>
      <c r="J91" s="7">
        <f>IFERROR(INDEX(Détail!$L$5:$L$30,MATCH("Pilier fin métal (Thin Pillar)",Détail!$B$5:$B$30,0)),0)</f>
        <v/>
      </c>
      <c r="K91" s="7">
        <f>IFERROR(INDEX(Détail!$M$5:$M$30,MATCH("Pilier fin métal (Thin Pillar)",Détail!$B$5:$B$30,0)),0)</f>
        <v/>
      </c>
      <c r="L91" s="7">
        <f>IFERROR(INDEX(Détail!$N$5:$N$30,MATCH("Pilier fin métal (Thin Pillar)",Détail!$B$5:$B$30,0)),0)</f>
        <v/>
      </c>
      <c r="M91" s="7">
        <f>IFERROR(INDEX(Détail!$O$5:$O$30,MATCH("Pilier fin métal (Thin Pillar)",Détail!$B$5:$B$30,0)),0)</f>
        <v/>
      </c>
      <c r="N91" s="7">
        <f>IFERROR(INDEX(Détail!$P$5:$P$30,MATCH("Pilier fin métal (Thin Pillar)",Détail!$B$5:$B$30,0)),0)</f>
        <v/>
      </c>
      <c r="O91" s="7">
        <f>IFERROR(INDEX(Détail!$Q$5:$Q$30,MATCH("Pilier fin métal (Thin Pillar)",Détail!$B$5:$B$30,0)),0)</f>
        <v/>
      </c>
      <c r="P91" s="7">
        <f>IFERROR(INDEX(Détail!$R$5:$R$30,MATCH("Pilier fin métal (Thin Pillar)",Détail!$B$5:$B$30,0)),0)</f>
        <v/>
      </c>
      <c r="Q91" s="14">
        <f>$B91*C91</f>
        <v/>
      </c>
      <c r="R91" s="14">
        <f>$B91*D91</f>
        <v/>
      </c>
      <c r="S91" s="14">
        <f>$B91*E91</f>
        <v/>
      </c>
      <c r="T91" s="14">
        <f>$B91*F91</f>
        <v/>
      </c>
      <c r="U91" s="14">
        <f>$B91*G91</f>
        <v/>
      </c>
      <c r="V91" s="14">
        <f>$B91*H91</f>
        <v/>
      </c>
      <c r="W91" s="14">
        <f>$B91*I91</f>
        <v/>
      </c>
      <c r="X91" s="14">
        <f>$B91*J91</f>
        <v/>
      </c>
      <c r="Y91" s="14">
        <f>$B91*K91</f>
        <v/>
      </c>
      <c r="Z91" s="14">
        <f>$B91*L91</f>
        <v/>
      </c>
      <c r="AA91" s="14">
        <f>$B91*M91</f>
        <v/>
      </c>
      <c r="AB91" s="14">
        <f>$B91*N91</f>
        <v/>
      </c>
      <c r="AC91" s="14">
        <f>$B91*O91</f>
        <v/>
      </c>
      <c r="AD91" s="14">
        <f>$B91*P91</f>
        <v/>
      </c>
    </row>
    <row r="92">
      <c r="A92" s="6" t="inlineStr">
        <is>
          <t>Rampe inclinée métal (Sloped Railing)</t>
        </is>
      </c>
      <c r="B92" s="16" t="n">
        <v>178</v>
      </c>
      <c r="C92" s="7">
        <f>IFERROR(INDEX(Détail!$E$5:$E$30,MATCH("Rampe inclinée métal (Sloped Railing)",Détail!$B$5:$B$30,0)),0)</f>
        <v/>
      </c>
      <c r="D92" s="7">
        <f>IFERROR(INDEX(Détail!$F$5:$F$30,MATCH("Rampe inclinée métal (Sloped Railing)",Détail!$B$5:$B$30,0)),0)</f>
        <v/>
      </c>
      <c r="E92" s="7">
        <f>IFERROR(INDEX(Détail!$G$5:$G$30,MATCH("Rampe inclinée métal (Sloped Railing)",Détail!$B$5:$B$30,0)),0)</f>
        <v/>
      </c>
      <c r="F92" s="7">
        <f>IFERROR(INDEX(Détail!$H$5:$H$30,MATCH("Rampe inclinée métal (Sloped Railing)",Détail!$B$5:$B$30,0)),0)</f>
        <v/>
      </c>
      <c r="G92" s="7">
        <f>IFERROR(INDEX(Détail!$I$5:$I$30,MATCH("Rampe inclinée métal (Sloped Railing)",Détail!$B$5:$B$30,0)),0)</f>
        <v/>
      </c>
      <c r="H92" s="7">
        <f>IFERROR(INDEX(Détail!$J$5:$J$30,MATCH("Rampe inclinée métal (Sloped Railing)",Détail!$B$5:$B$30,0)),0)</f>
        <v/>
      </c>
      <c r="I92" s="7">
        <f>IFERROR(INDEX(Détail!$K$5:$K$30,MATCH("Rampe inclinée métal (Sloped Railing)",Détail!$B$5:$B$30,0)),0)</f>
        <v/>
      </c>
      <c r="J92" s="7">
        <f>IFERROR(INDEX(Détail!$L$5:$L$30,MATCH("Rampe inclinée métal (Sloped Railing)",Détail!$B$5:$B$30,0)),0)</f>
        <v/>
      </c>
      <c r="K92" s="7">
        <f>IFERROR(INDEX(Détail!$M$5:$M$30,MATCH("Rampe inclinée métal (Sloped Railing)",Détail!$B$5:$B$30,0)),0)</f>
        <v/>
      </c>
      <c r="L92" s="7">
        <f>IFERROR(INDEX(Détail!$N$5:$N$30,MATCH("Rampe inclinée métal (Sloped Railing)",Détail!$B$5:$B$30,0)),0)</f>
        <v/>
      </c>
      <c r="M92" s="7">
        <f>IFERROR(INDEX(Détail!$O$5:$O$30,MATCH("Rampe inclinée métal (Sloped Railing)",Détail!$B$5:$B$30,0)),0)</f>
        <v/>
      </c>
      <c r="N92" s="7">
        <f>IFERROR(INDEX(Détail!$P$5:$P$30,MATCH("Rampe inclinée métal (Sloped Railing)",Détail!$B$5:$B$30,0)),0)</f>
        <v/>
      </c>
      <c r="O92" s="7">
        <f>IFERROR(INDEX(Détail!$Q$5:$Q$30,MATCH("Rampe inclinée métal (Sloped Railing)",Détail!$B$5:$B$30,0)),0)</f>
        <v/>
      </c>
      <c r="P92" s="7">
        <f>IFERROR(INDEX(Détail!$R$5:$R$30,MATCH("Rampe inclinée métal (Sloped Railing)",Détail!$B$5:$B$30,0)),0)</f>
        <v/>
      </c>
      <c r="Q92" s="14">
        <f>$B92*C92</f>
        <v/>
      </c>
      <c r="R92" s="14">
        <f>$B92*D92</f>
        <v/>
      </c>
      <c r="S92" s="14">
        <f>$B92*E92</f>
        <v/>
      </c>
      <c r="T92" s="14">
        <f>$B92*F92</f>
        <v/>
      </c>
      <c r="U92" s="14">
        <f>$B92*G92</f>
        <v/>
      </c>
      <c r="V92" s="14">
        <f>$B92*H92</f>
        <v/>
      </c>
      <c r="W92" s="14">
        <f>$B92*I92</f>
        <v/>
      </c>
      <c r="X92" s="14">
        <f>$B92*J92</f>
        <v/>
      </c>
      <c r="Y92" s="14">
        <f>$B92*K92</f>
        <v/>
      </c>
      <c r="Z92" s="14">
        <f>$B92*L92</f>
        <v/>
      </c>
      <c r="AA92" s="14">
        <f>$B92*M92</f>
        <v/>
      </c>
      <c r="AB92" s="14">
        <f>$B92*N92</f>
        <v/>
      </c>
      <c r="AC92" s="14">
        <f>$B92*O92</f>
        <v/>
      </c>
      <c r="AD92" s="14">
        <f>$B92*P92</f>
        <v/>
      </c>
    </row>
    <row r="93">
      <c r="A93" s="6" t="inlineStr">
        <is>
          <t>Mur métal</t>
        </is>
      </c>
      <c r="B93" s="16" t="n">
        <v>1</v>
      </c>
      <c r="C93" s="7">
        <f>IFERROR(INDEX(Détail!$E$5:$E$30,MATCH("Mur métal",Détail!$B$5:$B$30,0)),0)</f>
        <v/>
      </c>
      <c r="D93" s="7">
        <f>IFERROR(INDEX(Détail!$F$5:$F$30,MATCH("Mur métal",Détail!$B$5:$B$30,0)),0)</f>
        <v/>
      </c>
      <c r="E93" s="7">
        <f>IFERROR(INDEX(Détail!$G$5:$G$30,MATCH("Mur métal",Détail!$B$5:$B$30,0)),0)</f>
        <v/>
      </c>
      <c r="F93" s="7">
        <f>IFERROR(INDEX(Détail!$H$5:$H$30,MATCH("Mur métal",Détail!$B$5:$B$30,0)),0)</f>
        <v/>
      </c>
      <c r="G93" s="7">
        <f>IFERROR(INDEX(Détail!$I$5:$I$30,MATCH("Mur métal",Détail!$B$5:$B$30,0)),0)</f>
        <v/>
      </c>
      <c r="H93" s="7">
        <f>IFERROR(INDEX(Détail!$J$5:$J$30,MATCH("Mur métal",Détail!$B$5:$B$30,0)),0)</f>
        <v/>
      </c>
      <c r="I93" s="7">
        <f>IFERROR(INDEX(Détail!$K$5:$K$30,MATCH("Mur métal",Détail!$B$5:$B$30,0)),0)</f>
        <v/>
      </c>
      <c r="J93" s="7">
        <f>IFERROR(INDEX(Détail!$L$5:$L$30,MATCH("Mur métal",Détail!$B$5:$B$30,0)),0)</f>
        <v/>
      </c>
      <c r="K93" s="7">
        <f>IFERROR(INDEX(Détail!$M$5:$M$30,MATCH("Mur métal",Détail!$B$5:$B$30,0)),0)</f>
        <v/>
      </c>
      <c r="L93" s="7">
        <f>IFERROR(INDEX(Détail!$N$5:$N$30,MATCH("Mur métal",Détail!$B$5:$B$30,0)),0)</f>
        <v/>
      </c>
      <c r="M93" s="7">
        <f>IFERROR(INDEX(Détail!$O$5:$O$30,MATCH("Mur métal",Détail!$B$5:$B$30,0)),0)</f>
        <v/>
      </c>
      <c r="N93" s="7">
        <f>IFERROR(INDEX(Détail!$P$5:$P$30,MATCH("Mur métal",Détail!$B$5:$B$30,0)),0)</f>
        <v/>
      </c>
      <c r="O93" s="7">
        <f>IFERROR(INDEX(Détail!$Q$5:$Q$30,MATCH("Mur métal",Détail!$B$5:$B$30,0)),0)</f>
        <v/>
      </c>
      <c r="P93" s="7">
        <f>IFERROR(INDEX(Détail!$R$5:$R$30,MATCH("Mur métal",Détail!$B$5:$B$30,0)),0)</f>
        <v/>
      </c>
      <c r="Q93" s="14">
        <f>$B93*C93</f>
        <v/>
      </c>
      <c r="R93" s="14">
        <f>$B93*D93</f>
        <v/>
      </c>
      <c r="S93" s="14">
        <f>$B93*E93</f>
        <v/>
      </c>
      <c r="T93" s="14">
        <f>$B93*F93</f>
        <v/>
      </c>
      <c r="U93" s="14">
        <f>$B93*G93</f>
        <v/>
      </c>
      <c r="V93" s="14">
        <f>$B93*H93</f>
        <v/>
      </c>
      <c r="W93" s="14">
        <f>$B93*I93</f>
        <v/>
      </c>
      <c r="X93" s="14">
        <f>$B93*J93</f>
        <v/>
      </c>
      <c r="Y93" s="14">
        <f>$B93*K93</f>
        <v/>
      </c>
      <c r="Z93" s="14">
        <f>$B93*L93</f>
        <v/>
      </c>
      <c r="AA93" s="14">
        <f>$B93*M93</f>
        <v/>
      </c>
      <c r="AB93" s="14">
        <f>$B93*N93</f>
        <v/>
      </c>
      <c r="AC93" s="14">
        <f>$B93*O93</f>
        <v/>
      </c>
      <c r="AD93" s="14">
        <f>$B93*P93</f>
        <v/>
      </c>
    </row>
    <row r="94">
      <c r="A94" s="8" t="inlineStr">
        <is>
          <t>Total</t>
        </is>
      </c>
      <c r="B94" s="9">
        <f>SUM(B91:B93)</f>
        <v/>
      </c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9">
        <f>SUM(Q91:Q93)</f>
        <v/>
      </c>
      <c r="R94" s="9">
        <f>SUM(R91:R93)</f>
        <v/>
      </c>
      <c r="S94" s="9">
        <f>SUM(S91:S93)</f>
        <v/>
      </c>
      <c r="T94" s="9">
        <f>SUM(T91:T93)</f>
        <v/>
      </c>
      <c r="U94" s="9">
        <f>SUM(U91:U93)</f>
        <v/>
      </c>
      <c r="V94" s="9">
        <f>SUM(V91:V93)</f>
        <v/>
      </c>
      <c r="W94" s="9">
        <f>SUM(W91:W93)</f>
        <v/>
      </c>
      <c r="X94" s="9">
        <f>SUM(X91:X93)</f>
        <v/>
      </c>
      <c r="Y94" s="9">
        <f>SUM(Y91:Y93)</f>
        <v/>
      </c>
      <c r="Z94" s="9">
        <f>SUM(Z91:Z93)</f>
        <v/>
      </c>
      <c r="AA94" s="9">
        <f>SUM(AA91:AA93)</f>
        <v/>
      </c>
      <c r="AB94" s="9">
        <f>SUM(AB91:AB93)</f>
        <v/>
      </c>
      <c r="AC94" s="9">
        <f>SUM(AC91:AC93)</f>
        <v/>
      </c>
      <c r="AD94" s="9">
        <f>SUM(AD91:AD93)</f>
        <v/>
      </c>
    </row>
    <row r="95">
      <c r="A95" s="8" t="inlineStr">
        <is>
          <t>À fabriquer (hors tourelles)</t>
        </is>
      </c>
      <c r="B95" s="9">
        <f>SUM(B91:B93)-SUMIF(A91:A93,"* (inventaire)",B91:B93)</f>
        <v/>
      </c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9">
        <f>SUM(Q91:Q93)-SUMIF(A91:A93,"* (inventaire)",Q91:Q93)</f>
        <v/>
      </c>
      <c r="R95" s="9">
        <f>SUM(R91:R93)-SUMIF(A91:A93,"* (inventaire)",R91:R93)</f>
        <v/>
      </c>
      <c r="S95" s="9">
        <f>SUM(S91:S93)-SUMIF(A91:A93,"* (inventaire)",S91:S93)</f>
        <v/>
      </c>
      <c r="T95" s="9">
        <f>SUM(T91:T93)-SUMIF(A91:A93,"* (inventaire)",T91:T93)</f>
        <v/>
      </c>
      <c r="U95" s="9">
        <f>SUM(U91:U93)-SUMIF(A91:A93,"* (inventaire)",U91:U93)</f>
        <v/>
      </c>
      <c r="V95" s="9">
        <f>SUM(V91:V93)-SUMIF(A91:A93,"* (inventaire)",V91:V93)</f>
        <v/>
      </c>
      <c r="W95" s="9">
        <f>SUM(W91:W93)-SUMIF(A91:A93,"* (inventaire)",W91:W93)</f>
        <v/>
      </c>
      <c r="X95" s="9">
        <f>SUM(X91:X93)-SUMIF(A91:A93,"* (inventaire)",X91:X93)</f>
        <v/>
      </c>
      <c r="Y95" s="9">
        <f>SUM(Y91:Y93)-SUMIF(A91:A93,"* (inventaire)",Y91:Y93)</f>
        <v/>
      </c>
      <c r="Z95" s="9">
        <f>SUM(Z91:Z93)-SUMIF(A91:A93,"* (inventaire)",Z91:Z93)</f>
        <v/>
      </c>
      <c r="AA95" s="9">
        <f>SUM(AA91:AA93)-SUMIF(A91:A93,"* (inventaire)",AA91:AA93)</f>
        <v/>
      </c>
      <c r="AB95" s="9">
        <f>SUM(AB91:AB93)-SUMIF(A91:A93,"* (inventaire)",AB91:AB93)</f>
        <v/>
      </c>
      <c r="AC95" s="9">
        <f>SUM(AC91:AC93)-SUMIF(A91:A93,"* (inventaire)",AC91:AC93)</f>
        <v/>
      </c>
      <c r="AD95" s="9">
        <f>SUM(AD91:AD93)-SUMIF(A91:A93,"* (inventaire)",AD91:AD93)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</row>
    <row r="97">
      <c r="A97" s="15" t="inlineStr">
        <is>
          <t>Plan 11 tourelles dessus</t>
        </is>
      </c>
      <c r="B97" s="2" t="n"/>
      <c r="C97" s="3" t="inlineStr">
        <is>
          <t>11 entrées dans le template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</row>
    <row r="98" ht="30" customHeight="1">
      <c r="A98" s="11" t="inlineStr">
        <is>
          <t>Pièce</t>
        </is>
      </c>
      <c r="B98" s="11" t="inlineStr">
        <is>
          <t>Nombre</t>
        </is>
      </c>
      <c r="C98" s="11" t="inlineStr">
        <is>
          <t>Lingots de métal / u</t>
        </is>
      </c>
      <c r="D98" s="11" t="inlineStr">
        <is>
          <t>Pâte cimentée / u</t>
        </is>
      </c>
      <c r="E98" s="11" t="inlineStr">
        <is>
          <t>Électroniques / u</t>
        </is>
      </c>
      <c r="F98" s="11" t="inlineStr">
        <is>
          <t>Polymère / u</t>
        </is>
      </c>
      <c r="G98" s="11" t="inlineStr">
        <is>
          <t>Cristal / u</t>
        </is>
      </c>
      <c r="H98" s="11" t="inlineStr">
        <is>
          <t>Élément / u</t>
        </is>
      </c>
      <c r="I98" s="11" t="inlineStr">
        <is>
          <t>Perles noires / u</t>
        </is>
      </c>
      <c r="J98" s="11" t="inlineStr">
        <is>
          <t>Huile / u</t>
        </is>
      </c>
      <c r="K98" s="11" t="inlineStr">
        <is>
          <t>Poudre étincelante / u</t>
        </is>
      </c>
      <c r="L98" s="11" t="inlineStr">
        <is>
          <t>Cuir / u</t>
        </is>
      </c>
      <c r="M98" s="11" t="inlineStr">
        <is>
          <t>Fibre / u</t>
        </is>
      </c>
      <c r="N98" s="11" t="inlineStr">
        <is>
          <t>Chaume / u</t>
        </is>
      </c>
      <c r="O98" s="11" t="inlineStr">
        <is>
          <t>Bois / u</t>
        </is>
      </c>
      <c r="P98" s="11" t="inlineStr">
        <is>
          <t>Pierre / u</t>
        </is>
      </c>
      <c r="Q98" s="11" t="inlineStr">
        <is>
          <t>Lingots de métal total</t>
        </is>
      </c>
      <c r="R98" s="11" t="inlineStr">
        <is>
          <t>Pâte cimentée total</t>
        </is>
      </c>
      <c r="S98" s="11" t="inlineStr">
        <is>
          <t>Électroniques total</t>
        </is>
      </c>
      <c r="T98" s="11" t="inlineStr">
        <is>
          <t>Polymère total</t>
        </is>
      </c>
      <c r="U98" s="11" t="inlineStr">
        <is>
          <t>Cristal total</t>
        </is>
      </c>
      <c r="V98" s="11" t="inlineStr">
        <is>
          <t>Élément total</t>
        </is>
      </c>
      <c r="W98" s="11" t="inlineStr">
        <is>
          <t>Perles noires total</t>
        </is>
      </c>
      <c r="X98" s="11" t="inlineStr">
        <is>
          <t>Huile total</t>
        </is>
      </c>
      <c r="Y98" s="11" t="inlineStr">
        <is>
          <t>Poudre étincelante total</t>
        </is>
      </c>
      <c r="Z98" s="11" t="inlineStr">
        <is>
          <t>Cuir total</t>
        </is>
      </c>
      <c r="AA98" s="11" t="inlineStr">
        <is>
          <t>Fibre total</t>
        </is>
      </c>
      <c r="AB98" s="11" t="inlineStr">
        <is>
          <t>Chaume total</t>
        </is>
      </c>
      <c r="AC98" s="11" t="inlineStr">
        <is>
          <t>Bois total</t>
        </is>
      </c>
      <c r="AD98" s="11" t="inlineStr">
        <is>
          <t>Pierre total</t>
        </is>
      </c>
    </row>
    <row r="99">
      <c r="A99" s="6" t="inlineStr">
        <is>
          <t>Grand carré de culture (Plant Species X)</t>
        </is>
      </c>
      <c r="B99" s="16" t="n">
        <v>4</v>
      </c>
      <c r="C99" s="7">
        <f>IFERROR(INDEX(Détail!$E$5:$E$30,MATCH("Grand carré de culture (Plant Species X)",Détail!$B$5:$B$30,0)),0)</f>
        <v/>
      </c>
      <c r="D99" s="7">
        <f>IFERROR(INDEX(Détail!$F$5:$F$30,MATCH("Grand carré de culture (Plant Species X)",Détail!$B$5:$B$30,0)),0)</f>
        <v/>
      </c>
      <c r="E99" s="7">
        <f>IFERROR(INDEX(Détail!$G$5:$G$30,MATCH("Grand carré de culture (Plant Species X)",Détail!$B$5:$B$30,0)),0)</f>
        <v/>
      </c>
      <c r="F99" s="7">
        <f>IFERROR(INDEX(Détail!$H$5:$H$30,MATCH("Grand carré de culture (Plant Species X)",Détail!$B$5:$B$30,0)),0)</f>
        <v/>
      </c>
      <c r="G99" s="7">
        <f>IFERROR(INDEX(Détail!$I$5:$I$30,MATCH("Grand carré de culture (Plant Species X)",Détail!$B$5:$B$30,0)),0)</f>
        <v/>
      </c>
      <c r="H99" s="7">
        <f>IFERROR(INDEX(Détail!$J$5:$J$30,MATCH("Grand carré de culture (Plant Species X)",Détail!$B$5:$B$30,0)),0)</f>
        <v/>
      </c>
      <c r="I99" s="7">
        <f>IFERROR(INDEX(Détail!$K$5:$K$30,MATCH("Grand carré de culture (Plant Species X)",Détail!$B$5:$B$30,0)),0)</f>
        <v/>
      </c>
      <c r="J99" s="7">
        <f>IFERROR(INDEX(Détail!$L$5:$L$30,MATCH("Grand carré de culture (Plant Species X)",Détail!$B$5:$B$30,0)),0)</f>
        <v/>
      </c>
      <c r="K99" s="7">
        <f>IFERROR(INDEX(Détail!$M$5:$M$30,MATCH("Grand carré de culture (Plant Species X)",Détail!$B$5:$B$30,0)),0)</f>
        <v/>
      </c>
      <c r="L99" s="7">
        <f>IFERROR(INDEX(Détail!$N$5:$N$30,MATCH("Grand carré de culture (Plant Species X)",Détail!$B$5:$B$30,0)),0)</f>
        <v/>
      </c>
      <c r="M99" s="7">
        <f>IFERROR(INDEX(Détail!$O$5:$O$30,MATCH("Grand carré de culture (Plant Species X)",Détail!$B$5:$B$30,0)),0)</f>
        <v/>
      </c>
      <c r="N99" s="7">
        <f>IFERROR(INDEX(Détail!$P$5:$P$30,MATCH("Grand carré de culture (Plant Species X)",Détail!$B$5:$B$30,0)),0)</f>
        <v/>
      </c>
      <c r="O99" s="7">
        <f>IFERROR(INDEX(Détail!$Q$5:$Q$30,MATCH("Grand carré de culture (Plant Species X)",Détail!$B$5:$B$30,0)),0)</f>
        <v/>
      </c>
      <c r="P99" s="7">
        <f>IFERROR(INDEX(Détail!$R$5:$R$30,MATCH("Grand carré de culture (Plant Species X)",Détail!$B$5:$B$30,0)),0)</f>
        <v/>
      </c>
      <c r="Q99" s="14">
        <f>$B99*C99</f>
        <v/>
      </c>
      <c r="R99" s="14">
        <f>$B99*D99</f>
        <v/>
      </c>
      <c r="S99" s="14">
        <f>$B99*E99</f>
        <v/>
      </c>
      <c r="T99" s="14">
        <f>$B99*F99</f>
        <v/>
      </c>
      <c r="U99" s="14">
        <f>$B99*G99</f>
        <v/>
      </c>
      <c r="V99" s="14">
        <f>$B99*H99</f>
        <v/>
      </c>
      <c r="W99" s="14">
        <f>$B99*I99</f>
        <v/>
      </c>
      <c r="X99" s="14">
        <f>$B99*J99</f>
        <v/>
      </c>
      <c r="Y99" s="14">
        <f>$B99*K99</f>
        <v/>
      </c>
      <c r="Z99" s="14">
        <f>$B99*L99</f>
        <v/>
      </c>
      <c r="AA99" s="14">
        <f>$B99*M99</f>
        <v/>
      </c>
      <c r="AB99" s="14">
        <f>$B99*N99</f>
        <v/>
      </c>
      <c r="AC99" s="14">
        <f>$B99*O99</f>
        <v/>
      </c>
      <c r="AD99" s="14">
        <f>$B99*P99</f>
        <v/>
      </c>
    </row>
    <row r="100">
      <c r="A100" s="6" t="inlineStr">
        <is>
          <t>Tourelle lourde (Heavy) (inventaire)</t>
        </is>
      </c>
      <c r="B100" s="16" t="n">
        <v>2</v>
      </c>
      <c r="C100" s="7">
        <f>IFERROR(INDEX(Détail!$E$5:$E$30,MATCH("Tourelle lourde (Heavy)",Détail!$B$5:$B$30,0)),0)</f>
        <v/>
      </c>
      <c r="D100" s="7">
        <f>IFERROR(INDEX(Détail!$F$5:$F$30,MATCH("Tourelle lourde (Heavy)",Détail!$B$5:$B$30,0)),0)</f>
        <v/>
      </c>
      <c r="E100" s="7">
        <f>IFERROR(INDEX(Détail!$G$5:$G$30,MATCH("Tourelle lourde (Heavy)",Détail!$B$5:$B$30,0)),0)</f>
        <v/>
      </c>
      <c r="F100" s="7">
        <f>IFERROR(INDEX(Détail!$H$5:$H$30,MATCH("Tourelle lourde (Heavy)",Détail!$B$5:$B$30,0)),0)</f>
        <v/>
      </c>
      <c r="G100" s="7">
        <f>IFERROR(INDEX(Détail!$I$5:$I$30,MATCH("Tourelle lourde (Heavy)",Détail!$B$5:$B$30,0)),0)</f>
        <v/>
      </c>
      <c r="H100" s="7">
        <f>IFERROR(INDEX(Détail!$J$5:$J$30,MATCH("Tourelle lourde (Heavy)",Détail!$B$5:$B$30,0)),0)</f>
        <v/>
      </c>
      <c r="I100" s="7">
        <f>IFERROR(INDEX(Détail!$K$5:$K$30,MATCH("Tourelle lourde (Heavy)",Détail!$B$5:$B$30,0)),0)</f>
        <v/>
      </c>
      <c r="J100" s="7">
        <f>IFERROR(INDEX(Détail!$L$5:$L$30,MATCH("Tourelle lourde (Heavy)",Détail!$B$5:$B$30,0)),0)</f>
        <v/>
      </c>
      <c r="K100" s="7">
        <f>IFERROR(INDEX(Détail!$M$5:$M$30,MATCH("Tourelle lourde (Heavy)",Détail!$B$5:$B$30,0)),0)</f>
        <v/>
      </c>
      <c r="L100" s="7">
        <f>IFERROR(INDEX(Détail!$N$5:$N$30,MATCH("Tourelle lourde (Heavy)",Détail!$B$5:$B$30,0)),0)</f>
        <v/>
      </c>
      <c r="M100" s="7">
        <f>IFERROR(INDEX(Détail!$O$5:$O$30,MATCH("Tourelle lourde (Heavy)",Détail!$B$5:$B$30,0)),0)</f>
        <v/>
      </c>
      <c r="N100" s="7">
        <f>IFERROR(INDEX(Détail!$P$5:$P$30,MATCH("Tourelle lourde (Heavy)",Détail!$B$5:$B$30,0)),0)</f>
        <v/>
      </c>
      <c r="O100" s="7">
        <f>IFERROR(INDEX(Détail!$Q$5:$Q$30,MATCH("Tourelle lourde (Heavy)",Détail!$B$5:$B$30,0)),0)</f>
        <v/>
      </c>
      <c r="P100" s="7">
        <f>IFERROR(INDEX(Détail!$R$5:$R$30,MATCH("Tourelle lourde (Heavy)",Détail!$B$5:$B$30,0)),0)</f>
        <v/>
      </c>
      <c r="Q100" s="14">
        <f>$B100*C100</f>
        <v/>
      </c>
      <c r="R100" s="14">
        <f>$B100*D100</f>
        <v/>
      </c>
      <c r="S100" s="14">
        <f>$B100*E100</f>
        <v/>
      </c>
      <c r="T100" s="14">
        <f>$B100*F100</f>
        <v/>
      </c>
      <c r="U100" s="14">
        <f>$B100*G100</f>
        <v/>
      </c>
      <c r="V100" s="14">
        <f>$B100*H100</f>
        <v/>
      </c>
      <c r="W100" s="14">
        <f>$B100*I100</f>
        <v/>
      </c>
      <c r="X100" s="14">
        <f>$B100*J100</f>
        <v/>
      </c>
      <c r="Y100" s="14">
        <f>$B100*K100</f>
        <v/>
      </c>
      <c r="Z100" s="14">
        <f>$B100*L100</f>
        <v/>
      </c>
      <c r="AA100" s="14">
        <f>$B100*M100</f>
        <v/>
      </c>
      <c r="AB100" s="14">
        <f>$B100*N100</f>
        <v/>
      </c>
      <c r="AC100" s="14">
        <f>$B100*O100</f>
        <v/>
      </c>
      <c r="AD100" s="14">
        <f>$B100*P100</f>
        <v/>
      </c>
    </row>
    <row r="101">
      <c r="A101" s="6" t="inlineStr">
        <is>
          <t>Tourelle Tek (inventaire)</t>
        </is>
      </c>
      <c r="B101" s="16" t="n">
        <v>2</v>
      </c>
      <c r="C101" s="7">
        <f>IFERROR(INDEX(Détail!$E$5:$E$30,MATCH("Tourelle Tek",Détail!$B$5:$B$30,0)),0)</f>
        <v/>
      </c>
      <c r="D101" s="7">
        <f>IFERROR(INDEX(Détail!$F$5:$F$30,MATCH("Tourelle Tek",Détail!$B$5:$B$30,0)),0)</f>
        <v/>
      </c>
      <c r="E101" s="7">
        <f>IFERROR(INDEX(Détail!$G$5:$G$30,MATCH("Tourelle Tek",Détail!$B$5:$B$30,0)),0)</f>
        <v/>
      </c>
      <c r="F101" s="7">
        <f>IFERROR(INDEX(Détail!$H$5:$H$30,MATCH("Tourelle Tek",Détail!$B$5:$B$30,0)),0)</f>
        <v/>
      </c>
      <c r="G101" s="7">
        <f>IFERROR(INDEX(Détail!$I$5:$I$30,MATCH("Tourelle Tek",Détail!$B$5:$B$30,0)),0)</f>
        <v/>
      </c>
      <c r="H101" s="7">
        <f>IFERROR(INDEX(Détail!$J$5:$J$30,MATCH("Tourelle Tek",Détail!$B$5:$B$30,0)),0)</f>
        <v/>
      </c>
      <c r="I101" s="7">
        <f>IFERROR(INDEX(Détail!$K$5:$K$30,MATCH("Tourelle Tek",Détail!$B$5:$B$30,0)),0)</f>
        <v/>
      </c>
      <c r="J101" s="7">
        <f>IFERROR(INDEX(Détail!$L$5:$L$30,MATCH("Tourelle Tek",Détail!$B$5:$B$30,0)),0)</f>
        <v/>
      </c>
      <c r="K101" s="7">
        <f>IFERROR(INDEX(Détail!$M$5:$M$30,MATCH("Tourelle Tek",Détail!$B$5:$B$30,0)),0)</f>
        <v/>
      </c>
      <c r="L101" s="7">
        <f>IFERROR(INDEX(Détail!$N$5:$N$30,MATCH("Tourelle Tek",Détail!$B$5:$B$30,0)),0)</f>
        <v/>
      </c>
      <c r="M101" s="7">
        <f>IFERROR(INDEX(Détail!$O$5:$O$30,MATCH("Tourelle Tek",Détail!$B$5:$B$30,0)),0)</f>
        <v/>
      </c>
      <c r="N101" s="7">
        <f>IFERROR(INDEX(Détail!$P$5:$P$30,MATCH("Tourelle Tek",Détail!$B$5:$B$30,0)),0)</f>
        <v/>
      </c>
      <c r="O101" s="7">
        <f>IFERROR(INDEX(Détail!$Q$5:$Q$30,MATCH("Tourelle Tek",Détail!$B$5:$B$30,0)),0)</f>
        <v/>
      </c>
      <c r="P101" s="7">
        <f>IFERROR(INDEX(Détail!$R$5:$R$30,MATCH("Tourelle Tek",Détail!$B$5:$B$30,0)),0)</f>
        <v/>
      </c>
      <c r="Q101" s="14">
        <f>$B101*C101</f>
        <v/>
      </c>
      <c r="R101" s="14">
        <f>$B101*D101</f>
        <v/>
      </c>
      <c r="S101" s="14">
        <f>$B101*E101</f>
        <v/>
      </c>
      <c r="T101" s="14">
        <f>$B101*F101</f>
        <v/>
      </c>
      <c r="U101" s="14">
        <f>$B101*G101</f>
        <v/>
      </c>
      <c r="V101" s="14">
        <f>$B101*H101</f>
        <v/>
      </c>
      <c r="W101" s="14">
        <f>$B101*I101</f>
        <v/>
      </c>
      <c r="X101" s="14">
        <f>$B101*J101</f>
        <v/>
      </c>
      <c r="Y101" s="14">
        <f>$B101*K101</f>
        <v/>
      </c>
      <c r="Z101" s="14">
        <f>$B101*L101</f>
        <v/>
      </c>
      <c r="AA101" s="14">
        <f>$B101*M101</f>
        <v/>
      </c>
      <c r="AB101" s="14">
        <f>$B101*N101</f>
        <v/>
      </c>
      <c r="AC101" s="14">
        <f>$B101*O101</f>
        <v/>
      </c>
      <c r="AD101" s="14">
        <f>$B101*P101</f>
        <v/>
      </c>
    </row>
    <row r="102">
      <c r="A102" s="6" t="inlineStr">
        <is>
          <t>Bobine Tesla (inventaire)</t>
        </is>
      </c>
      <c r="B102" s="16" t="n">
        <v>2</v>
      </c>
      <c r="C102" s="7">
        <f>IFERROR(INDEX(Détail!$E$5:$E$30,MATCH("Bobine Tesla",Détail!$B$5:$B$30,0)),0)</f>
        <v/>
      </c>
      <c r="D102" s="7">
        <f>IFERROR(INDEX(Détail!$F$5:$F$30,MATCH("Bobine Tesla",Détail!$B$5:$B$30,0)),0)</f>
        <v/>
      </c>
      <c r="E102" s="7">
        <f>IFERROR(INDEX(Détail!$G$5:$G$30,MATCH("Bobine Tesla",Détail!$B$5:$B$30,0)),0)</f>
        <v/>
      </c>
      <c r="F102" s="7">
        <f>IFERROR(INDEX(Détail!$H$5:$H$30,MATCH("Bobine Tesla",Détail!$B$5:$B$30,0)),0)</f>
        <v/>
      </c>
      <c r="G102" s="7">
        <f>IFERROR(INDEX(Détail!$I$5:$I$30,MATCH("Bobine Tesla",Détail!$B$5:$B$30,0)),0)</f>
        <v/>
      </c>
      <c r="H102" s="7">
        <f>IFERROR(INDEX(Détail!$J$5:$J$30,MATCH("Bobine Tesla",Détail!$B$5:$B$30,0)),0)</f>
        <v/>
      </c>
      <c r="I102" s="7">
        <f>IFERROR(INDEX(Détail!$K$5:$K$30,MATCH("Bobine Tesla",Détail!$B$5:$B$30,0)),0)</f>
        <v/>
      </c>
      <c r="J102" s="7">
        <f>IFERROR(INDEX(Détail!$L$5:$L$30,MATCH("Bobine Tesla",Détail!$B$5:$B$30,0)),0)</f>
        <v/>
      </c>
      <c r="K102" s="7">
        <f>IFERROR(INDEX(Détail!$M$5:$M$30,MATCH("Bobine Tesla",Détail!$B$5:$B$30,0)),0)</f>
        <v/>
      </c>
      <c r="L102" s="7">
        <f>IFERROR(INDEX(Détail!$N$5:$N$30,MATCH("Bobine Tesla",Détail!$B$5:$B$30,0)),0)</f>
        <v/>
      </c>
      <c r="M102" s="7">
        <f>IFERROR(INDEX(Détail!$O$5:$O$30,MATCH("Bobine Tesla",Détail!$B$5:$B$30,0)),0)</f>
        <v/>
      </c>
      <c r="N102" s="7">
        <f>IFERROR(INDEX(Détail!$P$5:$P$30,MATCH("Bobine Tesla",Détail!$B$5:$B$30,0)),0)</f>
        <v/>
      </c>
      <c r="O102" s="7">
        <f>IFERROR(INDEX(Détail!$Q$5:$Q$30,MATCH("Bobine Tesla",Détail!$B$5:$B$30,0)),0)</f>
        <v/>
      </c>
      <c r="P102" s="7">
        <f>IFERROR(INDEX(Détail!$R$5:$R$30,MATCH("Bobine Tesla",Détail!$B$5:$B$30,0)),0)</f>
        <v/>
      </c>
      <c r="Q102" s="14">
        <f>$B102*C102</f>
        <v/>
      </c>
      <c r="R102" s="14">
        <f>$B102*D102</f>
        <v/>
      </c>
      <c r="S102" s="14">
        <f>$B102*E102</f>
        <v/>
      </c>
      <c r="T102" s="14">
        <f>$B102*F102</f>
        <v/>
      </c>
      <c r="U102" s="14">
        <f>$B102*G102</f>
        <v/>
      </c>
      <c r="V102" s="14">
        <f>$B102*H102</f>
        <v/>
      </c>
      <c r="W102" s="14">
        <f>$B102*I102</f>
        <v/>
      </c>
      <c r="X102" s="14">
        <f>$B102*J102</f>
        <v/>
      </c>
      <c r="Y102" s="14">
        <f>$B102*K102</f>
        <v/>
      </c>
      <c r="Z102" s="14">
        <f>$B102*L102</f>
        <v/>
      </c>
      <c r="AA102" s="14">
        <f>$B102*M102</f>
        <v/>
      </c>
      <c r="AB102" s="14">
        <f>$B102*N102</f>
        <v/>
      </c>
      <c r="AC102" s="14">
        <f>$B102*O102</f>
        <v/>
      </c>
      <c r="AD102" s="14">
        <f>$B102*P102</f>
        <v/>
      </c>
    </row>
    <row r="103">
      <c r="A103" s="6" t="inlineStr">
        <is>
          <t>Mur métal</t>
        </is>
      </c>
      <c r="B103" s="16" t="n">
        <v>1</v>
      </c>
      <c r="C103" s="7">
        <f>IFERROR(INDEX(Détail!$E$5:$E$30,MATCH("Mur métal",Détail!$B$5:$B$30,0)),0)</f>
        <v/>
      </c>
      <c r="D103" s="7">
        <f>IFERROR(INDEX(Détail!$F$5:$F$30,MATCH("Mur métal",Détail!$B$5:$B$30,0)),0)</f>
        <v/>
      </c>
      <c r="E103" s="7">
        <f>IFERROR(INDEX(Détail!$G$5:$G$30,MATCH("Mur métal",Détail!$B$5:$B$30,0)),0)</f>
        <v/>
      </c>
      <c r="F103" s="7">
        <f>IFERROR(INDEX(Détail!$H$5:$H$30,MATCH("Mur métal",Détail!$B$5:$B$30,0)),0)</f>
        <v/>
      </c>
      <c r="G103" s="7">
        <f>IFERROR(INDEX(Détail!$I$5:$I$30,MATCH("Mur métal",Détail!$B$5:$B$30,0)),0)</f>
        <v/>
      </c>
      <c r="H103" s="7">
        <f>IFERROR(INDEX(Détail!$J$5:$J$30,MATCH("Mur métal",Détail!$B$5:$B$30,0)),0)</f>
        <v/>
      </c>
      <c r="I103" s="7">
        <f>IFERROR(INDEX(Détail!$K$5:$K$30,MATCH("Mur métal",Détail!$B$5:$B$30,0)),0)</f>
        <v/>
      </c>
      <c r="J103" s="7">
        <f>IFERROR(INDEX(Détail!$L$5:$L$30,MATCH("Mur métal",Détail!$B$5:$B$30,0)),0)</f>
        <v/>
      </c>
      <c r="K103" s="7">
        <f>IFERROR(INDEX(Détail!$M$5:$M$30,MATCH("Mur métal",Détail!$B$5:$B$30,0)),0)</f>
        <v/>
      </c>
      <c r="L103" s="7">
        <f>IFERROR(INDEX(Détail!$N$5:$N$30,MATCH("Mur métal",Détail!$B$5:$B$30,0)),0)</f>
        <v/>
      </c>
      <c r="M103" s="7">
        <f>IFERROR(INDEX(Détail!$O$5:$O$30,MATCH("Mur métal",Détail!$B$5:$B$30,0)),0)</f>
        <v/>
      </c>
      <c r="N103" s="7">
        <f>IFERROR(INDEX(Détail!$P$5:$P$30,MATCH("Mur métal",Détail!$B$5:$B$30,0)),0)</f>
        <v/>
      </c>
      <c r="O103" s="7">
        <f>IFERROR(INDEX(Détail!$Q$5:$Q$30,MATCH("Mur métal",Détail!$B$5:$B$30,0)),0)</f>
        <v/>
      </c>
      <c r="P103" s="7">
        <f>IFERROR(INDEX(Détail!$R$5:$R$30,MATCH("Mur métal",Détail!$B$5:$B$30,0)),0)</f>
        <v/>
      </c>
      <c r="Q103" s="14">
        <f>$B103*C103</f>
        <v/>
      </c>
      <c r="R103" s="14">
        <f>$B103*D103</f>
        <v/>
      </c>
      <c r="S103" s="14">
        <f>$B103*E103</f>
        <v/>
      </c>
      <c r="T103" s="14">
        <f>$B103*F103</f>
        <v/>
      </c>
      <c r="U103" s="14">
        <f>$B103*G103</f>
        <v/>
      </c>
      <c r="V103" s="14">
        <f>$B103*H103</f>
        <v/>
      </c>
      <c r="W103" s="14">
        <f>$B103*I103</f>
        <v/>
      </c>
      <c r="X103" s="14">
        <f>$B103*J103</f>
        <v/>
      </c>
      <c r="Y103" s="14">
        <f>$B103*K103</f>
        <v/>
      </c>
      <c r="Z103" s="14">
        <f>$B103*L103</f>
        <v/>
      </c>
      <c r="AA103" s="14">
        <f>$B103*M103</f>
        <v/>
      </c>
      <c r="AB103" s="14">
        <f>$B103*N103</f>
        <v/>
      </c>
      <c r="AC103" s="14">
        <f>$B103*O103</f>
        <v/>
      </c>
      <c r="AD103" s="14">
        <f>$B103*P103</f>
        <v/>
      </c>
    </row>
    <row r="104">
      <c r="A104" s="8" t="inlineStr">
        <is>
          <t>Total</t>
        </is>
      </c>
      <c r="B104" s="9">
        <f>SUM(B99:B103)</f>
        <v/>
      </c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9">
        <f>SUM(Q99:Q103)</f>
        <v/>
      </c>
      <c r="R104" s="9">
        <f>SUM(R99:R103)</f>
        <v/>
      </c>
      <c r="S104" s="9">
        <f>SUM(S99:S103)</f>
        <v/>
      </c>
      <c r="T104" s="9">
        <f>SUM(T99:T103)</f>
        <v/>
      </c>
      <c r="U104" s="9">
        <f>SUM(U99:U103)</f>
        <v/>
      </c>
      <c r="V104" s="9">
        <f>SUM(V99:V103)</f>
        <v/>
      </c>
      <c r="W104" s="9">
        <f>SUM(W99:W103)</f>
        <v/>
      </c>
      <c r="X104" s="9">
        <f>SUM(X99:X103)</f>
        <v/>
      </c>
      <c r="Y104" s="9">
        <f>SUM(Y99:Y103)</f>
        <v/>
      </c>
      <c r="Z104" s="9">
        <f>SUM(Z99:Z103)</f>
        <v/>
      </c>
      <c r="AA104" s="9">
        <f>SUM(AA99:AA103)</f>
        <v/>
      </c>
      <c r="AB104" s="9">
        <f>SUM(AB99:AB103)</f>
        <v/>
      </c>
      <c r="AC104" s="9">
        <f>SUM(AC99:AC103)</f>
        <v/>
      </c>
      <c r="AD104" s="9">
        <f>SUM(AD99:AD103)</f>
        <v/>
      </c>
    </row>
    <row r="105">
      <c r="A105" s="8" t="inlineStr">
        <is>
          <t>À fabriquer (hors tourelles)</t>
        </is>
      </c>
      <c r="B105" s="9">
        <f>SUM(B99:B103)-SUMIF(A99:A103,"* (inventaire)",B99:B103)</f>
        <v/>
      </c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9">
        <f>SUM(Q99:Q103)-SUMIF(A99:A103,"* (inventaire)",Q99:Q103)</f>
        <v/>
      </c>
      <c r="R105" s="9">
        <f>SUM(R99:R103)-SUMIF(A99:A103,"* (inventaire)",R99:R103)</f>
        <v/>
      </c>
      <c r="S105" s="9">
        <f>SUM(S99:S103)-SUMIF(A99:A103,"* (inventaire)",S99:S103)</f>
        <v/>
      </c>
      <c r="T105" s="9">
        <f>SUM(T99:T103)-SUMIF(A99:A103,"* (inventaire)",T99:T103)</f>
        <v/>
      </c>
      <c r="U105" s="9">
        <f>SUM(U99:U103)-SUMIF(A99:A103,"* (inventaire)",U99:U103)</f>
        <v/>
      </c>
      <c r="V105" s="9">
        <f>SUM(V99:V103)-SUMIF(A99:A103,"* (inventaire)",V99:V103)</f>
        <v/>
      </c>
      <c r="W105" s="9">
        <f>SUM(W99:W103)-SUMIF(A99:A103,"* (inventaire)",W99:W103)</f>
        <v/>
      </c>
      <c r="X105" s="9">
        <f>SUM(X99:X103)-SUMIF(A99:A103,"* (inventaire)",X99:X103)</f>
        <v/>
      </c>
      <c r="Y105" s="9">
        <f>SUM(Y99:Y103)-SUMIF(A99:A103,"* (inventaire)",Y99:Y103)</f>
        <v/>
      </c>
      <c r="Z105" s="9">
        <f>SUM(Z99:Z103)-SUMIF(A99:A103,"* (inventaire)",Z99:Z103)</f>
        <v/>
      </c>
      <c r="AA105" s="9">
        <f>SUM(AA99:AA103)-SUMIF(A99:A103,"* (inventaire)",AA99:AA103)</f>
        <v/>
      </c>
      <c r="AB105" s="9">
        <f>SUM(AB99:AB103)-SUMIF(A99:A103,"* (inventaire)",AB99:AB103)</f>
        <v/>
      </c>
      <c r="AC105" s="9">
        <f>SUM(AC99:AC103)-SUMIF(A99:A103,"* (inventaire)",AC99:AC103)</f>
        <v/>
      </c>
      <c r="AD105" s="9">
        <f>SUM(AD99:AD103)-SUMIF(A99:A103,"* (inventaire)",AD99:AD103)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</row>
    <row r="107">
      <c r="A107" s="15" t="inlineStr">
        <is>
          <t>Option rehausse pod +1 niveau (par niveau)</t>
        </is>
      </c>
      <c r="B107" s="2" t="n"/>
      <c r="C107" s="3" t="inlineStr">
        <is>
          <t>76 entrées dans le template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</row>
    <row r="108" ht="30" customHeight="1">
      <c r="A108" s="11" t="inlineStr">
        <is>
          <t>Pièce</t>
        </is>
      </c>
      <c r="B108" s="11" t="inlineStr">
        <is>
          <t>Nombre</t>
        </is>
      </c>
      <c r="C108" s="11" t="inlineStr">
        <is>
          <t>Lingots de métal / u</t>
        </is>
      </c>
      <c r="D108" s="11" t="inlineStr">
        <is>
          <t>Pâte cimentée / u</t>
        </is>
      </c>
      <c r="E108" s="11" t="inlineStr">
        <is>
          <t>Électroniques / u</t>
        </is>
      </c>
      <c r="F108" s="11" t="inlineStr">
        <is>
          <t>Polymère / u</t>
        </is>
      </c>
      <c r="G108" s="11" t="inlineStr">
        <is>
          <t>Cristal / u</t>
        </is>
      </c>
      <c r="H108" s="11" t="inlineStr">
        <is>
          <t>Élément / u</t>
        </is>
      </c>
      <c r="I108" s="11" t="inlineStr">
        <is>
          <t>Perles noires / u</t>
        </is>
      </c>
      <c r="J108" s="11" t="inlineStr">
        <is>
          <t>Huile / u</t>
        </is>
      </c>
      <c r="K108" s="11" t="inlineStr">
        <is>
          <t>Poudre étincelante / u</t>
        </is>
      </c>
      <c r="L108" s="11" t="inlineStr">
        <is>
          <t>Cuir / u</t>
        </is>
      </c>
      <c r="M108" s="11" t="inlineStr">
        <is>
          <t>Fibre / u</t>
        </is>
      </c>
      <c r="N108" s="11" t="inlineStr">
        <is>
          <t>Chaume / u</t>
        </is>
      </c>
      <c r="O108" s="11" t="inlineStr">
        <is>
          <t>Bois / u</t>
        </is>
      </c>
      <c r="P108" s="11" t="inlineStr">
        <is>
          <t>Pierre / u</t>
        </is>
      </c>
      <c r="Q108" s="11" t="inlineStr">
        <is>
          <t>Lingots de métal total</t>
        </is>
      </c>
      <c r="R108" s="11" t="inlineStr">
        <is>
          <t>Pâte cimentée total</t>
        </is>
      </c>
      <c r="S108" s="11" t="inlineStr">
        <is>
          <t>Électroniques total</t>
        </is>
      </c>
      <c r="T108" s="11" t="inlineStr">
        <is>
          <t>Polymère total</t>
        </is>
      </c>
      <c r="U108" s="11" t="inlineStr">
        <is>
          <t>Cristal total</t>
        </is>
      </c>
      <c r="V108" s="11" t="inlineStr">
        <is>
          <t>Élément total</t>
        </is>
      </c>
      <c r="W108" s="11" t="inlineStr">
        <is>
          <t>Perles noires total</t>
        </is>
      </c>
      <c r="X108" s="11" t="inlineStr">
        <is>
          <t>Huile total</t>
        </is>
      </c>
      <c r="Y108" s="11" t="inlineStr">
        <is>
          <t>Poudre étincelante total</t>
        </is>
      </c>
      <c r="Z108" s="11" t="inlineStr">
        <is>
          <t>Cuir total</t>
        </is>
      </c>
      <c r="AA108" s="11" t="inlineStr">
        <is>
          <t>Fibre total</t>
        </is>
      </c>
      <c r="AB108" s="11" t="inlineStr">
        <is>
          <t>Chaume total</t>
        </is>
      </c>
      <c r="AC108" s="11" t="inlineStr">
        <is>
          <t>Bois total</t>
        </is>
      </c>
      <c r="AD108" s="11" t="inlineStr">
        <is>
          <t>Pierre total</t>
        </is>
      </c>
    </row>
    <row r="109">
      <c r="A109" s="6" t="inlineStr">
        <is>
          <t>Mur métal</t>
        </is>
      </c>
      <c r="B109" s="16" t="n">
        <v>52</v>
      </c>
      <c r="C109" s="7">
        <f>IFERROR(INDEX(Détail!$E$5:$E$30,MATCH("Mur métal",Détail!$B$5:$B$30,0)),0)</f>
        <v/>
      </c>
      <c r="D109" s="7">
        <f>IFERROR(INDEX(Détail!$F$5:$F$30,MATCH("Mur métal",Détail!$B$5:$B$30,0)),0)</f>
        <v/>
      </c>
      <c r="E109" s="7">
        <f>IFERROR(INDEX(Détail!$G$5:$G$30,MATCH("Mur métal",Détail!$B$5:$B$30,0)),0)</f>
        <v/>
      </c>
      <c r="F109" s="7">
        <f>IFERROR(INDEX(Détail!$H$5:$H$30,MATCH("Mur métal",Détail!$B$5:$B$30,0)),0)</f>
        <v/>
      </c>
      <c r="G109" s="7">
        <f>IFERROR(INDEX(Détail!$I$5:$I$30,MATCH("Mur métal",Détail!$B$5:$B$30,0)),0)</f>
        <v/>
      </c>
      <c r="H109" s="7">
        <f>IFERROR(INDEX(Détail!$J$5:$J$30,MATCH("Mur métal",Détail!$B$5:$B$30,0)),0)</f>
        <v/>
      </c>
      <c r="I109" s="7">
        <f>IFERROR(INDEX(Détail!$K$5:$K$30,MATCH("Mur métal",Détail!$B$5:$B$30,0)),0)</f>
        <v/>
      </c>
      <c r="J109" s="7">
        <f>IFERROR(INDEX(Détail!$L$5:$L$30,MATCH("Mur métal",Détail!$B$5:$B$30,0)),0)</f>
        <v/>
      </c>
      <c r="K109" s="7">
        <f>IFERROR(INDEX(Détail!$M$5:$M$30,MATCH("Mur métal",Détail!$B$5:$B$30,0)),0)</f>
        <v/>
      </c>
      <c r="L109" s="7">
        <f>IFERROR(INDEX(Détail!$N$5:$N$30,MATCH("Mur métal",Détail!$B$5:$B$30,0)),0)</f>
        <v/>
      </c>
      <c r="M109" s="7">
        <f>IFERROR(INDEX(Détail!$O$5:$O$30,MATCH("Mur métal",Détail!$B$5:$B$30,0)),0)</f>
        <v/>
      </c>
      <c r="N109" s="7">
        <f>IFERROR(INDEX(Détail!$P$5:$P$30,MATCH("Mur métal",Détail!$B$5:$B$30,0)),0)</f>
        <v/>
      </c>
      <c r="O109" s="7">
        <f>IFERROR(INDEX(Détail!$Q$5:$Q$30,MATCH("Mur métal",Détail!$B$5:$B$30,0)),0)</f>
        <v/>
      </c>
      <c r="P109" s="7">
        <f>IFERROR(INDEX(Détail!$R$5:$R$30,MATCH("Mur métal",Détail!$B$5:$B$30,0)),0)</f>
        <v/>
      </c>
      <c r="Q109" s="14">
        <f>$B109*C109</f>
        <v/>
      </c>
      <c r="R109" s="14">
        <f>$B109*D109</f>
        <v/>
      </c>
      <c r="S109" s="14">
        <f>$B109*E109</f>
        <v/>
      </c>
      <c r="T109" s="14">
        <f>$B109*F109</f>
        <v/>
      </c>
      <c r="U109" s="14">
        <f>$B109*G109</f>
        <v/>
      </c>
      <c r="V109" s="14">
        <f>$B109*H109</f>
        <v/>
      </c>
      <c r="W109" s="14">
        <f>$B109*I109</f>
        <v/>
      </c>
      <c r="X109" s="14">
        <f>$B109*J109</f>
        <v/>
      </c>
      <c r="Y109" s="14">
        <f>$B109*K109</f>
        <v/>
      </c>
      <c r="Z109" s="14">
        <f>$B109*L109</f>
        <v/>
      </c>
      <c r="AA109" s="14">
        <f>$B109*M109</f>
        <v/>
      </c>
      <c r="AB109" s="14">
        <f>$B109*N109</f>
        <v/>
      </c>
      <c r="AC109" s="14">
        <f>$B109*O109</f>
        <v/>
      </c>
      <c r="AD109" s="14">
        <f>$B109*P109</f>
        <v/>
      </c>
    </row>
    <row r="110">
      <c r="A110" s="6" t="inlineStr">
        <is>
          <t>Pilier métal</t>
        </is>
      </c>
      <c r="B110" s="16" t="n">
        <v>24</v>
      </c>
      <c r="C110" s="7">
        <f>IFERROR(INDEX(Détail!$E$5:$E$30,MATCH("Pilier métal",Détail!$B$5:$B$30,0)),0)</f>
        <v/>
      </c>
      <c r="D110" s="7">
        <f>IFERROR(INDEX(Détail!$F$5:$F$30,MATCH("Pilier métal",Détail!$B$5:$B$30,0)),0)</f>
        <v/>
      </c>
      <c r="E110" s="7">
        <f>IFERROR(INDEX(Détail!$G$5:$G$30,MATCH("Pilier métal",Détail!$B$5:$B$30,0)),0)</f>
        <v/>
      </c>
      <c r="F110" s="7">
        <f>IFERROR(INDEX(Détail!$H$5:$H$30,MATCH("Pilier métal",Détail!$B$5:$B$30,0)),0)</f>
        <v/>
      </c>
      <c r="G110" s="7">
        <f>IFERROR(INDEX(Détail!$I$5:$I$30,MATCH("Pilier métal",Détail!$B$5:$B$30,0)),0)</f>
        <v/>
      </c>
      <c r="H110" s="7">
        <f>IFERROR(INDEX(Détail!$J$5:$J$30,MATCH("Pilier métal",Détail!$B$5:$B$30,0)),0)</f>
        <v/>
      </c>
      <c r="I110" s="7">
        <f>IFERROR(INDEX(Détail!$K$5:$K$30,MATCH("Pilier métal",Détail!$B$5:$B$30,0)),0)</f>
        <v/>
      </c>
      <c r="J110" s="7">
        <f>IFERROR(INDEX(Détail!$L$5:$L$30,MATCH("Pilier métal",Détail!$B$5:$B$30,0)),0)</f>
        <v/>
      </c>
      <c r="K110" s="7">
        <f>IFERROR(INDEX(Détail!$M$5:$M$30,MATCH("Pilier métal",Détail!$B$5:$B$30,0)),0)</f>
        <v/>
      </c>
      <c r="L110" s="7">
        <f>IFERROR(INDEX(Détail!$N$5:$N$30,MATCH("Pilier métal",Détail!$B$5:$B$30,0)),0)</f>
        <v/>
      </c>
      <c r="M110" s="7">
        <f>IFERROR(INDEX(Détail!$O$5:$O$30,MATCH("Pilier métal",Détail!$B$5:$B$30,0)),0)</f>
        <v/>
      </c>
      <c r="N110" s="7">
        <f>IFERROR(INDEX(Détail!$P$5:$P$30,MATCH("Pilier métal",Détail!$B$5:$B$30,0)),0)</f>
        <v/>
      </c>
      <c r="O110" s="7">
        <f>IFERROR(INDEX(Détail!$Q$5:$Q$30,MATCH("Pilier métal",Détail!$B$5:$B$30,0)),0)</f>
        <v/>
      </c>
      <c r="P110" s="7">
        <f>IFERROR(INDEX(Détail!$R$5:$R$30,MATCH("Pilier métal",Détail!$B$5:$B$30,0)),0)</f>
        <v/>
      </c>
      <c r="Q110" s="14">
        <f>$B110*C110</f>
        <v/>
      </c>
      <c r="R110" s="14">
        <f>$B110*D110</f>
        <v/>
      </c>
      <c r="S110" s="14">
        <f>$B110*E110</f>
        <v/>
      </c>
      <c r="T110" s="14">
        <f>$B110*F110</f>
        <v/>
      </c>
      <c r="U110" s="14">
        <f>$B110*G110</f>
        <v/>
      </c>
      <c r="V110" s="14">
        <f>$B110*H110</f>
        <v/>
      </c>
      <c r="W110" s="14">
        <f>$B110*I110</f>
        <v/>
      </c>
      <c r="X110" s="14">
        <f>$B110*J110</f>
        <v/>
      </c>
      <c r="Y110" s="14">
        <f>$B110*K110</f>
        <v/>
      </c>
      <c r="Z110" s="14">
        <f>$B110*L110</f>
        <v/>
      </c>
      <c r="AA110" s="14">
        <f>$B110*M110</f>
        <v/>
      </c>
      <c r="AB110" s="14">
        <f>$B110*N110</f>
        <v/>
      </c>
      <c r="AC110" s="14">
        <f>$B110*O110</f>
        <v/>
      </c>
      <c r="AD110" s="14">
        <f>$B110*P110</f>
        <v/>
      </c>
    </row>
    <row r="111">
      <c r="A111" s="8" t="inlineStr">
        <is>
          <t>Total</t>
        </is>
      </c>
      <c r="B111" s="9">
        <f>SUM(B109:B110)</f>
        <v/>
      </c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9">
        <f>SUM(Q109:Q110)</f>
        <v/>
      </c>
      <c r="R111" s="9">
        <f>SUM(R109:R110)</f>
        <v/>
      </c>
      <c r="S111" s="9">
        <f>SUM(S109:S110)</f>
        <v/>
      </c>
      <c r="T111" s="9">
        <f>SUM(T109:T110)</f>
        <v/>
      </c>
      <c r="U111" s="9">
        <f>SUM(U109:U110)</f>
        <v/>
      </c>
      <c r="V111" s="9">
        <f>SUM(V109:V110)</f>
        <v/>
      </c>
      <c r="W111" s="9">
        <f>SUM(W109:W110)</f>
        <v/>
      </c>
      <c r="X111" s="9">
        <f>SUM(X109:X110)</f>
        <v/>
      </c>
      <c r="Y111" s="9">
        <f>SUM(Y109:Y110)</f>
        <v/>
      </c>
      <c r="Z111" s="9">
        <f>SUM(Z109:Z110)</f>
        <v/>
      </c>
      <c r="AA111" s="9">
        <f>SUM(AA109:AA110)</f>
        <v/>
      </c>
      <c r="AB111" s="9">
        <f>SUM(AB109:AB110)</f>
        <v/>
      </c>
      <c r="AC111" s="9">
        <f>SUM(AC109:AC110)</f>
        <v/>
      </c>
      <c r="AD111" s="9">
        <f>SUM(AD109:AD110)</f>
        <v/>
      </c>
    </row>
    <row r="112">
      <c r="A112" s="8" t="inlineStr">
        <is>
          <t>À fabriquer (hors tourelles)</t>
        </is>
      </c>
      <c r="B112" s="9">
        <f>SUM(B109:B110)-SUMIF(A109:A110,"* (inventaire)",B109:B110)</f>
        <v/>
      </c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9">
        <f>SUM(Q109:Q110)-SUMIF(A109:A110,"* (inventaire)",Q109:Q110)</f>
        <v/>
      </c>
      <c r="R112" s="9">
        <f>SUM(R109:R110)-SUMIF(A109:A110,"* (inventaire)",R109:R110)</f>
        <v/>
      </c>
      <c r="S112" s="9">
        <f>SUM(S109:S110)-SUMIF(A109:A110,"* (inventaire)",S109:S110)</f>
        <v/>
      </c>
      <c r="T112" s="9">
        <f>SUM(T109:T110)-SUMIF(A109:A110,"* (inventaire)",T109:T110)</f>
        <v/>
      </c>
      <c r="U112" s="9">
        <f>SUM(U109:U110)-SUMIF(A109:A110,"* (inventaire)",U109:U110)</f>
        <v/>
      </c>
      <c r="V112" s="9">
        <f>SUM(V109:V110)-SUMIF(A109:A110,"* (inventaire)",V109:V110)</f>
        <v/>
      </c>
      <c r="W112" s="9">
        <f>SUM(W109:W110)-SUMIF(A109:A110,"* (inventaire)",W109:W110)</f>
        <v/>
      </c>
      <c r="X112" s="9">
        <f>SUM(X109:X110)-SUMIF(A109:A110,"* (inventaire)",X109:X110)</f>
        <v/>
      </c>
      <c r="Y112" s="9">
        <f>SUM(Y109:Y110)-SUMIF(A109:A110,"* (inventaire)",Y109:Y110)</f>
        <v/>
      </c>
      <c r="Z112" s="9">
        <f>SUM(Z109:Z110)-SUMIF(A109:A110,"* (inventaire)",Z109:Z110)</f>
        <v/>
      </c>
      <c r="AA112" s="9">
        <f>SUM(AA109:AA110)-SUMIF(A109:A110,"* (inventaire)",AA109:AA110)</f>
        <v/>
      </c>
      <c r="AB112" s="9">
        <f>SUM(AB109:AB110)-SUMIF(A109:A110,"* (inventaire)",AB109:AB110)</f>
        <v/>
      </c>
      <c r="AC112" s="9">
        <f>SUM(AC109:AC110)-SUMIF(A109:A110,"* (inventaire)",AC109:AC110)</f>
        <v/>
      </c>
      <c r="AD112" s="9">
        <f>SUM(AD109:AD110)-SUMIF(A109:A110,"* (inventaire)",AD109:AD110)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</row>
    <row r="114">
      <c r="A114" s="15" t="inlineStr">
        <is>
          <t>Hors plans : pics, équipements, ancres temporaires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</row>
    <row r="115" ht="30" customHeight="1">
      <c r="A115" s="11" t="inlineStr">
        <is>
          <t>Pièce</t>
        </is>
      </c>
      <c r="B115" s="11" t="inlineStr">
        <is>
          <t>Nombre</t>
        </is>
      </c>
      <c r="C115" s="11" t="inlineStr">
        <is>
          <t>Lingots de métal / u</t>
        </is>
      </c>
      <c r="D115" s="11" t="inlineStr">
        <is>
          <t>Pâte cimentée / u</t>
        </is>
      </c>
      <c r="E115" s="11" t="inlineStr">
        <is>
          <t>Électroniques / u</t>
        </is>
      </c>
      <c r="F115" s="11" t="inlineStr">
        <is>
          <t>Polymère / u</t>
        </is>
      </c>
      <c r="G115" s="11" t="inlineStr">
        <is>
          <t>Cristal / u</t>
        </is>
      </c>
      <c r="H115" s="11" t="inlineStr">
        <is>
          <t>Élément / u</t>
        </is>
      </c>
      <c r="I115" s="11" t="inlineStr">
        <is>
          <t>Perles noires / u</t>
        </is>
      </c>
      <c r="J115" s="11" t="inlineStr">
        <is>
          <t>Huile / u</t>
        </is>
      </c>
      <c r="K115" s="11" t="inlineStr">
        <is>
          <t>Poudre étincelante / u</t>
        </is>
      </c>
      <c r="L115" s="11" t="inlineStr">
        <is>
          <t>Cuir / u</t>
        </is>
      </c>
      <c r="M115" s="11" t="inlineStr">
        <is>
          <t>Fibre / u</t>
        </is>
      </c>
      <c r="N115" s="11" t="inlineStr">
        <is>
          <t>Chaume / u</t>
        </is>
      </c>
      <c r="O115" s="11" t="inlineStr">
        <is>
          <t>Bois / u</t>
        </is>
      </c>
      <c r="P115" s="11" t="inlineStr">
        <is>
          <t>Pierre / u</t>
        </is>
      </c>
      <c r="Q115" s="11" t="inlineStr">
        <is>
          <t>Lingots de métal total</t>
        </is>
      </c>
      <c r="R115" s="11" t="inlineStr">
        <is>
          <t>Pâte cimentée total</t>
        </is>
      </c>
      <c r="S115" s="11" t="inlineStr">
        <is>
          <t>Électroniques total</t>
        </is>
      </c>
      <c r="T115" s="11" t="inlineStr">
        <is>
          <t>Polymère total</t>
        </is>
      </c>
      <c r="U115" s="11" t="inlineStr">
        <is>
          <t>Cristal total</t>
        </is>
      </c>
      <c r="V115" s="11" t="inlineStr">
        <is>
          <t>Élément total</t>
        </is>
      </c>
      <c r="W115" s="11" t="inlineStr">
        <is>
          <t>Perles noires total</t>
        </is>
      </c>
      <c r="X115" s="11" t="inlineStr">
        <is>
          <t>Huile total</t>
        </is>
      </c>
      <c r="Y115" s="11" t="inlineStr">
        <is>
          <t>Poudre étincelante total</t>
        </is>
      </c>
      <c r="Z115" s="11" t="inlineStr">
        <is>
          <t>Cuir total</t>
        </is>
      </c>
      <c r="AA115" s="11" t="inlineStr">
        <is>
          <t>Fibre total</t>
        </is>
      </c>
      <c r="AB115" s="11" t="inlineStr">
        <is>
          <t>Chaume total</t>
        </is>
      </c>
      <c r="AC115" s="11" t="inlineStr">
        <is>
          <t>Bois total</t>
        </is>
      </c>
      <c r="AD115" s="11" t="inlineStr">
        <is>
          <t>Pierre total</t>
        </is>
      </c>
    </row>
    <row r="116">
      <c r="A116" s="6" t="inlineStr">
        <is>
          <t>Mur de pics métal</t>
        </is>
      </c>
      <c r="B116" s="16" t="n">
        <v>74</v>
      </c>
      <c r="C116" s="7">
        <f>IFERROR(INDEX(Détail!$E$5:$E$30,MATCH("Mur de pics métal",Détail!$B$5:$B$30,0)),0)</f>
        <v/>
      </c>
      <c r="D116" s="7">
        <f>IFERROR(INDEX(Détail!$F$5:$F$30,MATCH("Mur de pics métal",Détail!$B$5:$B$30,0)),0)</f>
        <v/>
      </c>
      <c r="E116" s="7">
        <f>IFERROR(INDEX(Détail!$G$5:$G$30,MATCH("Mur de pics métal",Détail!$B$5:$B$30,0)),0)</f>
        <v/>
      </c>
      <c r="F116" s="7">
        <f>IFERROR(INDEX(Détail!$H$5:$H$30,MATCH("Mur de pics métal",Détail!$B$5:$B$30,0)),0)</f>
        <v/>
      </c>
      <c r="G116" s="7">
        <f>IFERROR(INDEX(Détail!$I$5:$I$30,MATCH("Mur de pics métal",Détail!$B$5:$B$30,0)),0)</f>
        <v/>
      </c>
      <c r="H116" s="7">
        <f>IFERROR(INDEX(Détail!$J$5:$J$30,MATCH("Mur de pics métal",Détail!$B$5:$B$30,0)),0)</f>
        <v/>
      </c>
      <c r="I116" s="7">
        <f>IFERROR(INDEX(Détail!$K$5:$K$30,MATCH("Mur de pics métal",Détail!$B$5:$B$30,0)),0)</f>
        <v/>
      </c>
      <c r="J116" s="7">
        <f>IFERROR(INDEX(Détail!$L$5:$L$30,MATCH("Mur de pics métal",Détail!$B$5:$B$30,0)),0)</f>
        <v/>
      </c>
      <c r="K116" s="7">
        <f>IFERROR(INDEX(Détail!$M$5:$M$30,MATCH("Mur de pics métal",Détail!$B$5:$B$30,0)),0)</f>
        <v/>
      </c>
      <c r="L116" s="7">
        <f>IFERROR(INDEX(Détail!$N$5:$N$30,MATCH("Mur de pics métal",Détail!$B$5:$B$30,0)),0)</f>
        <v/>
      </c>
      <c r="M116" s="7">
        <f>IFERROR(INDEX(Détail!$O$5:$O$30,MATCH("Mur de pics métal",Détail!$B$5:$B$30,0)),0)</f>
        <v/>
      </c>
      <c r="N116" s="7">
        <f>IFERROR(INDEX(Détail!$P$5:$P$30,MATCH("Mur de pics métal",Détail!$B$5:$B$30,0)),0)</f>
        <v/>
      </c>
      <c r="O116" s="7">
        <f>IFERROR(INDEX(Détail!$Q$5:$Q$30,MATCH("Mur de pics métal",Détail!$B$5:$B$30,0)),0)</f>
        <v/>
      </c>
      <c r="P116" s="7">
        <f>IFERROR(INDEX(Détail!$R$5:$R$30,MATCH("Mur de pics métal",Détail!$B$5:$B$30,0)),0)</f>
        <v/>
      </c>
      <c r="Q116" s="14">
        <f>$B116*C116</f>
        <v/>
      </c>
      <c r="R116" s="14">
        <f>$B116*D116</f>
        <v/>
      </c>
      <c r="S116" s="14">
        <f>$B116*E116</f>
        <v/>
      </c>
      <c r="T116" s="14">
        <f>$B116*F116</f>
        <v/>
      </c>
      <c r="U116" s="14">
        <f>$B116*G116</f>
        <v/>
      </c>
      <c r="V116" s="14">
        <f>$B116*H116</f>
        <v/>
      </c>
      <c r="W116" s="14">
        <f>$B116*I116</f>
        <v/>
      </c>
      <c r="X116" s="14">
        <f>$B116*J116</f>
        <v/>
      </c>
      <c r="Y116" s="14">
        <f>$B116*K116</f>
        <v/>
      </c>
      <c r="Z116" s="14">
        <f>$B116*L116</f>
        <v/>
      </c>
      <c r="AA116" s="14">
        <f>$B116*M116</f>
        <v/>
      </c>
      <c r="AB116" s="14">
        <f>$B116*N116</f>
        <v/>
      </c>
      <c r="AC116" s="14">
        <f>$B116*O116</f>
        <v/>
      </c>
      <c r="AD116" s="14">
        <f>$B116*P116</f>
        <v/>
      </c>
    </row>
    <row r="117">
      <c r="A117" s="6" t="inlineStr">
        <is>
          <t>Stockage dédié Tek (Tek Dedicated Storage)</t>
        </is>
      </c>
      <c r="B117" s="16" t="n">
        <v>20</v>
      </c>
      <c r="C117" s="7">
        <f>IFERROR(INDEX(Détail!$E$5:$E$30,MATCH("Stockage dédié Tek (Tek Dedicated Storage)",Détail!$B$5:$B$30,0)),0)</f>
        <v/>
      </c>
      <c r="D117" s="7">
        <f>IFERROR(INDEX(Détail!$F$5:$F$30,MATCH("Stockage dédié Tek (Tek Dedicated Storage)",Détail!$B$5:$B$30,0)),0)</f>
        <v/>
      </c>
      <c r="E117" s="7">
        <f>IFERROR(INDEX(Détail!$G$5:$G$30,MATCH("Stockage dédié Tek (Tek Dedicated Storage)",Détail!$B$5:$B$30,0)),0)</f>
        <v/>
      </c>
      <c r="F117" s="7">
        <f>IFERROR(INDEX(Détail!$H$5:$H$30,MATCH("Stockage dédié Tek (Tek Dedicated Storage)",Détail!$B$5:$B$30,0)),0)</f>
        <v/>
      </c>
      <c r="G117" s="7">
        <f>IFERROR(INDEX(Détail!$I$5:$I$30,MATCH("Stockage dédié Tek (Tek Dedicated Storage)",Détail!$B$5:$B$30,0)),0)</f>
        <v/>
      </c>
      <c r="H117" s="7">
        <f>IFERROR(INDEX(Détail!$J$5:$J$30,MATCH("Stockage dédié Tek (Tek Dedicated Storage)",Détail!$B$5:$B$30,0)),0)</f>
        <v/>
      </c>
      <c r="I117" s="7">
        <f>IFERROR(INDEX(Détail!$K$5:$K$30,MATCH("Stockage dédié Tek (Tek Dedicated Storage)",Détail!$B$5:$B$30,0)),0)</f>
        <v/>
      </c>
      <c r="J117" s="7">
        <f>IFERROR(INDEX(Détail!$L$5:$L$30,MATCH("Stockage dédié Tek (Tek Dedicated Storage)",Détail!$B$5:$B$30,0)),0)</f>
        <v/>
      </c>
      <c r="K117" s="7">
        <f>IFERROR(INDEX(Détail!$M$5:$M$30,MATCH("Stockage dédié Tek (Tek Dedicated Storage)",Détail!$B$5:$B$30,0)),0)</f>
        <v/>
      </c>
      <c r="L117" s="7">
        <f>IFERROR(INDEX(Détail!$N$5:$N$30,MATCH("Stockage dédié Tek (Tek Dedicated Storage)",Détail!$B$5:$B$30,0)),0)</f>
        <v/>
      </c>
      <c r="M117" s="7">
        <f>IFERROR(INDEX(Détail!$O$5:$O$30,MATCH("Stockage dédié Tek (Tek Dedicated Storage)",Détail!$B$5:$B$30,0)),0)</f>
        <v/>
      </c>
      <c r="N117" s="7">
        <f>IFERROR(INDEX(Détail!$P$5:$P$30,MATCH("Stockage dédié Tek (Tek Dedicated Storage)",Détail!$B$5:$B$30,0)),0)</f>
        <v/>
      </c>
      <c r="O117" s="7">
        <f>IFERROR(INDEX(Détail!$Q$5:$Q$30,MATCH("Stockage dédié Tek (Tek Dedicated Storage)",Détail!$B$5:$B$30,0)),0)</f>
        <v/>
      </c>
      <c r="P117" s="7">
        <f>IFERROR(INDEX(Détail!$R$5:$R$30,MATCH("Stockage dédié Tek (Tek Dedicated Storage)",Détail!$B$5:$B$30,0)),0)</f>
        <v/>
      </c>
      <c r="Q117" s="14">
        <f>$B117*C117</f>
        <v/>
      </c>
      <c r="R117" s="14">
        <f>$B117*D117</f>
        <v/>
      </c>
      <c r="S117" s="14">
        <f>$B117*E117</f>
        <v/>
      </c>
      <c r="T117" s="14">
        <f>$B117*F117</f>
        <v/>
      </c>
      <c r="U117" s="14">
        <f>$B117*G117</f>
        <v/>
      </c>
      <c r="V117" s="14">
        <f>$B117*H117</f>
        <v/>
      </c>
      <c r="W117" s="14">
        <f>$B117*I117</f>
        <v/>
      </c>
      <c r="X117" s="14">
        <f>$B117*J117</f>
        <v/>
      </c>
      <c r="Y117" s="14">
        <f>$B117*K117</f>
        <v/>
      </c>
      <c r="Z117" s="14">
        <f>$B117*L117</f>
        <v/>
      </c>
      <c r="AA117" s="14">
        <f>$B117*M117</f>
        <v/>
      </c>
      <c r="AB117" s="14">
        <f>$B117*N117</f>
        <v/>
      </c>
      <c r="AC117" s="14">
        <f>$B117*O117</f>
        <v/>
      </c>
      <c r="AD117" s="14">
        <f>$B117*P117</f>
        <v/>
      </c>
    </row>
    <row r="118">
      <c r="A118" s="6" t="inlineStr">
        <is>
          <t>Coffre-fort (Vault)</t>
        </is>
      </c>
      <c r="B118" s="16" t="n">
        <v>20</v>
      </c>
      <c r="C118" s="7">
        <f>IFERROR(INDEX(Détail!$E$5:$E$30,MATCH("Coffre-fort (Vault)",Détail!$B$5:$B$30,0)),0)</f>
        <v/>
      </c>
      <c r="D118" s="7">
        <f>IFERROR(INDEX(Détail!$F$5:$F$30,MATCH("Coffre-fort (Vault)",Détail!$B$5:$B$30,0)),0)</f>
        <v/>
      </c>
      <c r="E118" s="7">
        <f>IFERROR(INDEX(Détail!$G$5:$G$30,MATCH("Coffre-fort (Vault)",Détail!$B$5:$B$30,0)),0)</f>
        <v/>
      </c>
      <c r="F118" s="7">
        <f>IFERROR(INDEX(Détail!$H$5:$H$30,MATCH("Coffre-fort (Vault)",Détail!$B$5:$B$30,0)),0)</f>
        <v/>
      </c>
      <c r="G118" s="7">
        <f>IFERROR(INDEX(Détail!$I$5:$I$30,MATCH("Coffre-fort (Vault)",Détail!$B$5:$B$30,0)),0)</f>
        <v/>
      </c>
      <c r="H118" s="7">
        <f>IFERROR(INDEX(Détail!$J$5:$J$30,MATCH("Coffre-fort (Vault)",Détail!$B$5:$B$30,0)),0)</f>
        <v/>
      </c>
      <c r="I118" s="7">
        <f>IFERROR(INDEX(Détail!$K$5:$K$30,MATCH("Coffre-fort (Vault)",Détail!$B$5:$B$30,0)),0)</f>
        <v/>
      </c>
      <c r="J118" s="7">
        <f>IFERROR(INDEX(Détail!$L$5:$L$30,MATCH("Coffre-fort (Vault)",Détail!$B$5:$B$30,0)),0)</f>
        <v/>
      </c>
      <c r="K118" s="7">
        <f>IFERROR(INDEX(Détail!$M$5:$M$30,MATCH("Coffre-fort (Vault)",Détail!$B$5:$B$30,0)),0)</f>
        <v/>
      </c>
      <c r="L118" s="7">
        <f>IFERROR(INDEX(Détail!$N$5:$N$30,MATCH("Coffre-fort (Vault)",Détail!$B$5:$B$30,0)),0)</f>
        <v/>
      </c>
      <c r="M118" s="7">
        <f>IFERROR(INDEX(Détail!$O$5:$O$30,MATCH("Coffre-fort (Vault)",Détail!$B$5:$B$30,0)),0)</f>
        <v/>
      </c>
      <c r="N118" s="7">
        <f>IFERROR(INDEX(Détail!$P$5:$P$30,MATCH("Coffre-fort (Vault)",Détail!$B$5:$B$30,0)),0)</f>
        <v/>
      </c>
      <c r="O118" s="7">
        <f>IFERROR(INDEX(Détail!$Q$5:$Q$30,MATCH("Coffre-fort (Vault)",Détail!$B$5:$B$30,0)),0)</f>
        <v/>
      </c>
      <c r="P118" s="7">
        <f>IFERROR(INDEX(Détail!$R$5:$R$30,MATCH("Coffre-fort (Vault)",Détail!$B$5:$B$30,0)),0)</f>
        <v/>
      </c>
      <c r="Q118" s="14">
        <f>$B118*C118</f>
        <v/>
      </c>
      <c r="R118" s="14">
        <f>$B118*D118</f>
        <v/>
      </c>
      <c r="S118" s="14">
        <f>$B118*E118</f>
        <v/>
      </c>
      <c r="T118" s="14">
        <f>$B118*F118</f>
        <v/>
      </c>
      <c r="U118" s="14">
        <f>$B118*G118</f>
        <v/>
      </c>
      <c r="V118" s="14">
        <f>$B118*H118</f>
        <v/>
      </c>
      <c r="W118" s="14">
        <f>$B118*I118</f>
        <v/>
      </c>
      <c r="X118" s="14">
        <f>$B118*J118</f>
        <v/>
      </c>
      <c r="Y118" s="14">
        <f>$B118*K118</f>
        <v/>
      </c>
      <c r="Z118" s="14">
        <f>$B118*L118</f>
        <v/>
      </c>
      <c r="AA118" s="14">
        <f>$B118*M118</f>
        <v/>
      </c>
      <c r="AB118" s="14">
        <f>$B118*N118</f>
        <v/>
      </c>
      <c r="AC118" s="14">
        <f>$B118*O118</f>
        <v/>
      </c>
      <c r="AD118" s="14">
        <f>$B118*P118</f>
        <v/>
      </c>
    </row>
    <row r="119">
      <c r="A119" s="6" t="inlineStr">
        <is>
          <t>Demi-pilier métal (ancre)</t>
        </is>
      </c>
      <c r="B119" s="16" t="n">
        <v>8</v>
      </c>
      <c r="C119" s="7">
        <f>IFERROR(INDEX(Détail!$E$5:$E$30,MATCH("Demi-pilier métal (ancre)",Détail!$B$5:$B$30,0)),0)</f>
        <v/>
      </c>
      <c r="D119" s="7">
        <f>IFERROR(INDEX(Détail!$F$5:$F$30,MATCH("Demi-pilier métal (ancre)",Détail!$B$5:$B$30,0)),0)</f>
        <v/>
      </c>
      <c r="E119" s="7">
        <f>IFERROR(INDEX(Détail!$G$5:$G$30,MATCH("Demi-pilier métal (ancre)",Détail!$B$5:$B$30,0)),0)</f>
        <v/>
      </c>
      <c r="F119" s="7">
        <f>IFERROR(INDEX(Détail!$H$5:$H$30,MATCH("Demi-pilier métal (ancre)",Détail!$B$5:$B$30,0)),0)</f>
        <v/>
      </c>
      <c r="G119" s="7">
        <f>IFERROR(INDEX(Détail!$I$5:$I$30,MATCH("Demi-pilier métal (ancre)",Détail!$B$5:$B$30,0)),0)</f>
        <v/>
      </c>
      <c r="H119" s="7">
        <f>IFERROR(INDEX(Détail!$J$5:$J$30,MATCH("Demi-pilier métal (ancre)",Détail!$B$5:$B$30,0)),0)</f>
        <v/>
      </c>
      <c r="I119" s="7">
        <f>IFERROR(INDEX(Détail!$K$5:$K$30,MATCH("Demi-pilier métal (ancre)",Détail!$B$5:$B$30,0)),0)</f>
        <v/>
      </c>
      <c r="J119" s="7">
        <f>IFERROR(INDEX(Détail!$L$5:$L$30,MATCH("Demi-pilier métal (ancre)",Détail!$B$5:$B$30,0)),0)</f>
        <v/>
      </c>
      <c r="K119" s="7">
        <f>IFERROR(INDEX(Détail!$M$5:$M$30,MATCH("Demi-pilier métal (ancre)",Détail!$B$5:$B$30,0)),0)</f>
        <v/>
      </c>
      <c r="L119" s="7">
        <f>IFERROR(INDEX(Détail!$N$5:$N$30,MATCH("Demi-pilier métal (ancre)",Détail!$B$5:$B$30,0)),0)</f>
        <v/>
      </c>
      <c r="M119" s="7">
        <f>IFERROR(INDEX(Détail!$O$5:$O$30,MATCH("Demi-pilier métal (ancre)",Détail!$B$5:$B$30,0)),0)</f>
        <v/>
      </c>
      <c r="N119" s="7">
        <f>IFERROR(INDEX(Détail!$P$5:$P$30,MATCH("Demi-pilier métal (ancre)",Détail!$B$5:$B$30,0)),0)</f>
        <v/>
      </c>
      <c r="O119" s="7">
        <f>IFERROR(INDEX(Détail!$Q$5:$Q$30,MATCH("Demi-pilier métal (ancre)",Détail!$B$5:$B$30,0)),0)</f>
        <v/>
      </c>
      <c r="P119" s="7">
        <f>IFERROR(INDEX(Détail!$R$5:$R$30,MATCH("Demi-pilier métal (ancre)",Détail!$B$5:$B$30,0)),0)</f>
        <v/>
      </c>
      <c r="Q119" s="14">
        <f>$B119*C119</f>
        <v/>
      </c>
      <c r="R119" s="14">
        <f>$B119*D119</f>
        <v/>
      </c>
      <c r="S119" s="14">
        <f>$B119*E119</f>
        <v/>
      </c>
      <c r="T119" s="14">
        <f>$B119*F119</f>
        <v/>
      </c>
      <c r="U119" s="14">
        <f>$B119*G119</f>
        <v/>
      </c>
      <c r="V119" s="14">
        <f>$B119*H119</f>
        <v/>
      </c>
      <c r="W119" s="14">
        <f>$B119*I119</f>
        <v/>
      </c>
      <c r="X119" s="14">
        <f>$B119*J119</f>
        <v/>
      </c>
      <c r="Y119" s="14">
        <f>$B119*K119</f>
        <v/>
      </c>
      <c r="Z119" s="14">
        <f>$B119*L119</f>
        <v/>
      </c>
      <c r="AA119" s="14">
        <f>$B119*M119</f>
        <v/>
      </c>
      <c r="AB119" s="14">
        <f>$B119*N119</f>
        <v/>
      </c>
      <c r="AC119" s="14">
        <f>$B119*O119</f>
        <v/>
      </c>
      <c r="AD119" s="14">
        <f>$B119*P119</f>
        <v/>
      </c>
    </row>
    <row r="120">
      <c r="A120" s="6" t="inlineStr">
        <is>
          <t>Générateur Tek</t>
        </is>
      </c>
      <c r="B120" s="16" t="n">
        <v>2</v>
      </c>
      <c r="C120" s="7">
        <f>IFERROR(INDEX(Détail!$E$5:$E$30,MATCH("Générateur Tek",Détail!$B$5:$B$30,0)),0)</f>
        <v/>
      </c>
      <c r="D120" s="7">
        <f>IFERROR(INDEX(Détail!$F$5:$F$30,MATCH("Générateur Tek",Détail!$B$5:$B$30,0)),0)</f>
        <v/>
      </c>
      <c r="E120" s="7">
        <f>IFERROR(INDEX(Détail!$G$5:$G$30,MATCH("Générateur Tek",Détail!$B$5:$B$30,0)),0)</f>
        <v/>
      </c>
      <c r="F120" s="7">
        <f>IFERROR(INDEX(Détail!$H$5:$H$30,MATCH("Générateur Tek",Détail!$B$5:$B$30,0)),0)</f>
        <v/>
      </c>
      <c r="G120" s="7">
        <f>IFERROR(INDEX(Détail!$I$5:$I$30,MATCH("Générateur Tek",Détail!$B$5:$B$30,0)),0)</f>
        <v/>
      </c>
      <c r="H120" s="7">
        <f>IFERROR(INDEX(Détail!$J$5:$J$30,MATCH("Générateur Tek",Détail!$B$5:$B$30,0)),0)</f>
        <v/>
      </c>
      <c r="I120" s="7">
        <f>IFERROR(INDEX(Détail!$K$5:$K$30,MATCH("Générateur Tek",Détail!$B$5:$B$30,0)),0)</f>
        <v/>
      </c>
      <c r="J120" s="7">
        <f>IFERROR(INDEX(Détail!$L$5:$L$30,MATCH("Générateur Tek",Détail!$B$5:$B$30,0)),0)</f>
        <v/>
      </c>
      <c r="K120" s="7">
        <f>IFERROR(INDEX(Détail!$M$5:$M$30,MATCH("Générateur Tek",Détail!$B$5:$B$30,0)),0)</f>
        <v/>
      </c>
      <c r="L120" s="7">
        <f>IFERROR(INDEX(Détail!$N$5:$N$30,MATCH("Générateur Tek",Détail!$B$5:$B$30,0)),0)</f>
        <v/>
      </c>
      <c r="M120" s="7">
        <f>IFERROR(INDEX(Détail!$O$5:$O$30,MATCH("Générateur Tek",Détail!$B$5:$B$30,0)),0)</f>
        <v/>
      </c>
      <c r="N120" s="7">
        <f>IFERROR(INDEX(Détail!$P$5:$P$30,MATCH("Générateur Tek",Détail!$B$5:$B$30,0)),0)</f>
        <v/>
      </c>
      <c r="O120" s="7">
        <f>IFERROR(INDEX(Détail!$Q$5:$Q$30,MATCH("Générateur Tek",Détail!$B$5:$B$30,0)),0)</f>
        <v/>
      </c>
      <c r="P120" s="7">
        <f>IFERROR(INDEX(Détail!$R$5:$R$30,MATCH("Générateur Tek",Détail!$B$5:$B$30,0)),0)</f>
        <v/>
      </c>
      <c r="Q120" s="14">
        <f>$B120*C120</f>
        <v/>
      </c>
      <c r="R120" s="14">
        <f>$B120*D120</f>
        <v/>
      </c>
      <c r="S120" s="14">
        <f>$B120*E120</f>
        <v/>
      </c>
      <c r="T120" s="14">
        <f>$B120*F120</f>
        <v/>
      </c>
      <c r="U120" s="14">
        <f>$B120*G120</f>
        <v/>
      </c>
      <c r="V120" s="14">
        <f>$B120*H120</f>
        <v/>
      </c>
      <c r="W120" s="14">
        <f>$B120*I120</f>
        <v/>
      </c>
      <c r="X120" s="14">
        <f>$B120*J120</f>
        <v/>
      </c>
      <c r="Y120" s="14">
        <f>$B120*K120</f>
        <v/>
      </c>
      <c r="Z120" s="14">
        <f>$B120*L120</f>
        <v/>
      </c>
      <c r="AA120" s="14">
        <f>$B120*M120</f>
        <v/>
      </c>
      <c r="AB120" s="14">
        <f>$B120*N120</f>
        <v/>
      </c>
      <c r="AC120" s="14">
        <f>$B120*O120</f>
        <v/>
      </c>
      <c r="AD120" s="14">
        <f>$B120*P120</f>
        <v/>
      </c>
    </row>
    <row r="121">
      <c r="A121" s="6" t="inlineStr">
        <is>
          <t>Réplicateur Tek</t>
        </is>
      </c>
      <c r="B121" s="16" t="n">
        <v>1</v>
      </c>
      <c r="C121" s="7">
        <f>IFERROR(INDEX(Détail!$E$5:$E$30,MATCH("Réplicateur Tek",Détail!$B$5:$B$30,0)),0)</f>
        <v/>
      </c>
      <c r="D121" s="7">
        <f>IFERROR(INDEX(Détail!$F$5:$F$30,MATCH("Réplicateur Tek",Détail!$B$5:$B$30,0)),0)</f>
        <v/>
      </c>
      <c r="E121" s="7">
        <f>IFERROR(INDEX(Détail!$G$5:$G$30,MATCH("Réplicateur Tek",Détail!$B$5:$B$30,0)),0)</f>
        <v/>
      </c>
      <c r="F121" s="7">
        <f>IFERROR(INDEX(Détail!$H$5:$H$30,MATCH("Réplicateur Tek",Détail!$B$5:$B$30,0)),0)</f>
        <v/>
      </c>
      <c r="G121" s="7">
        <f>IFERROR(INDEX(Détail!$I$5:$I$30,MATCH("Réplicateur Tek",Détail!$B$5:$B$30,0)),0)</f>
        <v/>
      </c>
      <c r="H121" s="7">
        <f>IFERROR(INDEX(Détail!$J$5:$J$30,MATCH("Réplicateur Tek",Détail!$B$5:$B$30,0)),0)</f>
        <v/>
      </c>
      <c r="I121" s="7">
        <f>IFERROR(INDEX(Détail!$K$5:$K$30,MATCH("Réplicateur Tek",Détail!$B$5:$B$30,0)),0)</f>
        <v/>
      </c>
      <c r="J121" s="7">
        <f>IFERROR(INDEX(Détail!$L$5:$L$30,MATCH("Réplicateur Tek",Détail!$B$5:$B$30,0)),0)</f>
        <v/>
      </c>
      <c r="K121" s="7">
        <f>IFERROR(INDEX(Détail!$M$5:$M$30,MATCH("Réplicateur Tek",Détail!$B$5:$B$30,0)),0)</f>
        <v/>
      </c>
      <c r="L121" s="7">
        <f>IFERROR(INDEX(Détail!$N$5:$N$30,MATCH("Réplicateur Tek",Détail!$B$5:$B$30,0)),0)</f>
        <v/>
      </c>
      <c r="M121" s="7">
        <f>IFERROR(INDEX(Détail!$O$5:$O$30,MATCH("Réplicateur Tek",Détail!$B$5:$B$30,0)),0)</f>
        <v/>
      </c>
      <c r="N121" s="7">
        <f>IFERROR(INDEX(Détail!$P$5:$P$30,MATCH("Réplicateur Tek",Détail!$B$5:$B$30,0)),0)</f>
        <v/>
      </c>
      <c r="O121" s="7">
        <f>IFERROR(INDEX(Détail!$Q$5:$Q$30,MATCH("Réplicateur Tek",Détail!$B$5:$B$30,0)),0)</f>
        <v/>
      </c>
      <c r="P121" s="7">
        <f>IFERROR(INDEX(Détail!$R$5:$R$30,MATCH("Réplicateur Tek",Détail!$B$5:$B$30,0)),0)</f>
        <v/>
      </c>
      <c r="Q121" s="14">
        <f>$B121*C121</f>
        <v/>
      </c>
      <c r="R121" s="14">
        <f>$B121*D121</f>
        <v/>
      </c>
      <c r="S121" s="14">
        <f>$B121*E121</f>
        <v/>
      </c>
      <c r="T121" s="14">
        <f>$B121*F121</f>
        <v/>
      </c>
      <c r="U121" s="14">
        <f>$B121*G121</f>
        <v/>
      </c>
      <c r="V121" s="14">
        <f>$B121*H121</f>
        <v/>
      </c>
      <c r="W121" s="14">
        <f>$B121*I121</f>
        <v/>
      </c>
      <c r="X121" s="14">
        <f>$B121*J121</f>
        <v/>
      </c>
      <c r="Y121" s="14">
        <f>$B121*K121</f>
        <v/>
      </c>
      <c r="Z121" s="14">
        <f>$B121*L121</f>
        <v/>
      </c>
      <c r="AA121" s="14">
        <f>$B121*M121</f>
        <v/>
      </c>
      <c r="AB121" s="14">
        <f>$B121*N121</f>
        <v/>
      </c>
      <c r="AC121" s="14">
        <f>$B121*O121</f>
        <v/>
      </c>
      <c r="AD121" s="14">
        <f>$B121*P121</f>
        <v/>
      </c>
    </row>
    <row r="122">
      <c r="A122" s="6" t="inlineStr">
        <is>
          <t>Forge à vapeur (Steam Forge)</t>
        </is>
      </c>
      <c r="B122" s="16" t="n">
        <v>1</v>
      </c>
      <c r="C122" s="7">
        <f>IFERROR(INDEX(Détail!$E$5:$E$30,MATCH("Forge à vapeur (Steam Forge)",Détail!$B$5:$B$30,0)),0)</f>
        <v/>
      </c>
      <c r="D122" s="7">
        <f>IFERROR(INDEX(Détail!$F$5:$F$30,MATCH("Forge à vapeur (Steam Forge)",Détail!$B$5:$B$30,0)),0)</f>
        <v/>
      </c>
      <c r="E122" s="7">
        <f>IFERROR(INDEX(Détail!$G$5:$G$30,MATCH("Forge à vapeur (Steam Forge)",Détail!$B$5:$B$30,0)),0)</f>
        <v/>
      </c>
      <c r="F122" s="7">
        <f>IFERROR(INDEX(Détail!$H$5:$H$30,MATCH("Forge à vapeur (Steam Forge)",Détail!$B$5:$B$30,0)),0)</f>
        <v/>
      </c>
      <c r="G122" s="7">
        <f>IFERROR(INDEX(Détail!$I$5:$I$30,MATCH("Forge à vapeur (Steam Forge)",Détail!$B$5:$B$30,0)),0)</f>
        <v/>
      </c>
      <c r="H122" s="7">
        <f>IFERROR(INDEX(Détail!$J$5:$J$30,MATCH("Forge à vapeur (Steam Forge)",Détail!$B$5:$B$30,0)),0)</f>
        <v/>
      </c>
      <c r="I122" s="7">
        <f>IFERROR(INDEX(Détail!$K$5:$K$30,MATCH("Forge à vapeur (Steam Forge)",Détail!$B$5:$B$30,0)),0)</f>
        <v/>
      </c>
      <c r="J122" s="7">
        <f>IFERROR(INDEX(Détail!$L$5:$L$30,MATCH("Forge à vapeur (Steam Forge)",Détail!$B$5:$B$30,0)),0)</f>
        <v/>
      </c>
      <c r="K122" s="7">
        <f>IFERROR(INDEX(Détail!$M$5:$M$30,MATCH("Forge à vapeur (Steam Forge)",Détail!$B$5:$B$30,0)),0)</f>
        <v/>
      </c>
      <c r="L122" s="7">
        <f>IFERROR(INDEX(Détail!$N$5:$N$30,MATCH("Forge à vapeur (Steam Forge)",Détail!$B$5:$B$30,0)),0)</f>
        <v/>
      </c>
      <c r="M122" s="7">
        <f>IFERROR(INDEX(Détail!$O$5:$O$30,MATCH("Forge à vapeur (Steam Forge)",Détail!$B$5:$B$30,0)),0)</f>
        <v/>
      </c>
      <c r="N122" s="7">
        <f>IFERROR(INDEX(Détail!$P$5:$P$30,MATCH("Forge à vapeur (Steam Forge)",Détail!$B$5:$B$30,0)),0)</f>
        <v/>
      </c>
      <c r="O122" s="7">
        <f>IFERROR(INDEX(Détail!$Q$5:$Q$30,MATCH("Forge à vapeur (Steam Forge)",Détail!$B$5:$B$30,0)),0)</f>
        <v/>
      </c>
      <c r="P122" s="7">
        <f>IFERROR(INDEX(Détail!$R$5:$R$30,MATCH("Forge à vapeur (Steam Forge)",Détail!$B$5:$B$30,0)),0)</f>
        <v/>
      </c>
      <c r="Q122" s="14">
        <f>$B122*C122</f>
        <v/>
      </c>
      <c r="R122" s="14">
        <f>$B122*D122</f>
        <v/>
      </c>
      <c r="S122" s="14">
        <f>$B122*E122</f>
        <v/>
      </c>
      <c r="T122" s="14">
        <f>$B122*F122</f>
        <v/>
      </c>
      <c r="U122" s="14">
        <f>$B122*G122</f>
        <v/>
      </c>
      <c r="V122" s="14">
        <f>$B122*H122</f>
        <v/>
      </c>
      <c r="W122" s="14">
        <f>$B122*I122</f>
        <v/>
      </c>
      <c r="X122" s="14">
        <f>$B122*J122</f>
        <v/>
      </c>
      <c r="Y122" s="14">
        <f>$B122*K122</f>
        <v/>
      </c>
      <c r="Z122" s="14">
        <f>$B122*L122</f>
        <v/>
      </c>
      <c r="AA122" s="14">
        <f>$B122*M122</f>
        <v/>
      </c>
      <c r="AB122" s="14">
        <f>$B122*N122</f>
        <v/>
      </c>
      <c r="AC122" s="14">
        <f>$B122*O122</f>
        <v/>
      </c>
      <c r="AD122" s="14">
        <f>$B122*P122</f>
        <v/>
      </c>
    </row>
    <row r="123">
      <c r="A123" s="6" t="inlineStr">
        <is>
          <t>Labo de fortune (Makeshift Megalab)</t>
        </is>
      </c>
      <c r="B123" s="16" t="n">
        <v>1</v>
      </c>
      <c r="C123" s="7">
        <f>IFERROR(INDEX(Détail!$E$5:$E$30,MATCH("Labo de fortune (Makeshift Megalab)",Détail!$B$5:$B$30,0)),0)</f>
        <v/>
      </c>
      <c r="D123" s="7">
        <f>IFERROR(INDEX(Détail!$F$5:$F$30,MATCH("Labo de fortune (Makeshift Megalab)",Détail!$B$5:$B$30,0)),0)</f>
        <v/>
      </c>
      <c r="E123" s="7">
        <f>IFERROR(INDEX(Détail!$G$5:$G$30,MATCH("Labo de fortune (Makeshift Megalab)",Détail!$B$5:$B$30,0)),0)</f>
        <v/>
      </c>
      <c r="F123" s="7">
        <f>IFERROR(INDEX(Détail!$H$5:$H$30,MATCH("Labo de fortune (Makeshift Megalab)",Détail!$B$5:$B$30,0)),0)</f>
        <v/>
      </c>
      <c r="G123" s="7">
        <f>IFERROR(INDEX(Détail!$I$5:$I$30,MATCH("Labo de fortune (Makeshift Megalab)",Détail!$B$5:$B$30,0)),0)</f>
        <v/>
      </c>
      <c r="H123" s="7">
        <f>IFERROR(INDEX(Détail!$J$5:$J$30,MATCH("Labo de fortune (Makeshift Megalab)",Détail!$B$5:$B$30,0)),0)</f>
        <v/>
      </c>
      <c r="I123" s="7">
        <f>IFERROR(INDEX(Détail!$K$5:$K$30,MATCH("Labo de fortune (Makeshift Megalab)",Détail!$B$5:$B$30,0)),0)</f>
        <v/>
      </c>
      <c r="J123" s="7">
        <f>IFERROR(INDEX(Détail!$L$5:$L$30,MATCH("Labo de fortune (Makeshift Megalab)",Détail!$B$5:$B$30,0)),0)</f>
        <v/>
      </c>
      <c r="K123" s="7">
        <f>IFERROR(INDEX(Détail!$M$5:$M$30,MATCH("Labo de fortune (Makeshift Megalab)",Détail!$B$5:$B$30,0)),0)</f>
        <v/>
      </c>
      <c r="L123" s="7">
        <f>IFERROR(INDEX(Détail!$N$5:$N$30,MATCH("Labo de fortune (Makeshift Megalab)",Détail!$B$5:$B$30,0)),0)</f>
        <v/>
      </c>
      <c r="M123" s="7">
        <f>IFERROR(INDEX(Détail!$O$5:$O$30,MATCH("Labo de fortune (Makeshift Megalab)",Détail!$B$5:$B$30,0)),0)</f>
        <v/>
      </c>
      <c r="N123" s="7">
        <f>IFERROR(INDEX(Détail!$P$5:$P$30,MATCH("Labo de fortune (Makeshift Megalab)",Détail!$B$5:$B$30,0)),0)</f>
        <v/>
      </c>
      <c r="O123" s="7">
        <f>IFERROR(INDEX(Détail!$Q$5:$Q$30,MATCH("Labo de fortune (Makeshift Megalab)",Détail!$B$5:$B$30,0)),0)</f>
        <v/>
      </c>
      <c r="P123" s="7">
        <f>IFERROR(INDEX(Détail!$R$5:$R$30,MATCH("Labo de fortune (Makeshift Megalab)",Détail!$B$5:$B$30,0)),0)</f>
        <v/>
      </c>
      <c r="Q123" s="14">
        <f>$B123*C123</f>
        <v/>
      </c>
      <c r="R123" s="14">
        <f>$B123*D123</f>
        <v/>
      </c>
      <c r="S123" s="14">
        <f>$B123*E123</f>
        <v/>
      </c>
      <c r="T123" s="14">
        <f>$B123*F123</f>
        <v/>
      </c>
      <c r="U123" s="14">
        <f>$B123*G123</f>
        <v/>
      </c>
      <c r="V123" s="14">
        <f>$B123*H123</f>
        <v/>
      </c>
      <c r="W123" s="14">
        <f>$B123*I123</f>
        <v/>
      </c>
      <c r="X123" s="14">
        <f>$B123*J123</f>
        <v/>
      </c>
      <c r="Y123" s="14">
        <f>$B123*K123</f>
        <v/>
      </c>
      <c r="Z123" s="14">
        <f>$B123*L123</f>
        <v/>
      </c>
      <c r="AA123" s="14">
        <f>$B123*M123</f>
        <v/>
      </c>
      <c r="AB123" s="14">
        <f>$B123*N123</f>
        <v/>
      </c>
      <c r="AC123" s="14">
        <f>$B123*O123</f>
        <v/>
      </c>
      <c r="AD123" s="14">
        <f>$B123*P123</f>
        <v/>
      </c>
    </row>
    <row r="124">
      <c r="A124" s="8" t="inlineStr">
        <is>
          <t>Total</t>
        </is>
      </c>
      <c r="B124" s="9">
        <f>SUM(B116:B123)</f>
        <v/>
      </c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9">
        <f>SUM(Q116:Q123)</f>
        <v/>
      </c>
      <c r="R124" s="9">
        <f>SUM(R116:R123)</f>
        <v/>
      </c>
      <c r="S124" s="9">
        <f>SUM(S116:S123)</f>
        <v/>
      </c>
      <c r="T124" s="9">
        <f>SUM(T116:T123)</f>
        <v/>
      </c>
      <c r="U124" s="9">
        <f>SUM(U116:U123)</f>
        <v/>
      </c>
      <c r="V124" s="9">
        <f>SUM(V116:V123)</f>
        <v/>
      </c>
      <c r="W124" s="9">
        <f>SUM(W116:W123)</f>
        <v/>
      </c>
      <c r="X124" s="9">
        <f>SUM(X116:X123)</f>
        <v/>
      </c>
      <c r="Y124" s="9">
        <f>SUM(Y116:Y123)</f>
        <v/>
      </c>
      <c r="Z124" s="9">
        <f>SUM(Z116:Z123)</f>
        <v/>
      </c>
      <c r="AA124" s="9">
        <f>SUM(AA116:AA123)</f>
        <v/>
      </c>
      <c r="AB124" s="9">
        <f>SUM(AB116:AB123)</f>
        <v/>
      </c>
      <c r="AC124" s="9">
        <f>SUM(AC116:AC123)</f>
        <v/>
      </c>
      <c r="AD124" s="9">
        <f>SUM(AD116:AD123)</f>
        <v/>
      </c>
    </row>
    <row r="125">
      <c r="A125" s="8" t="inlineStr">
        <is>
          <t>À fabriquer (hors tourelles)</t>
        </is>
      </c>
      <c r="B125" s="9">
        <f>SUM(B116:B123)-SUMIF(A116:A123,"* (inventaire)",B116:B123)</f>
        <v/>
      </c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9">
        <f>SUM(Q116:Q123)-SUMIF(A116:A123,"* (inventaire)",Q116:Q123)</f>
        <v/>
      </c>
      <c r="R125" s="9">
        <f>SUM(R116:R123)-SUMIF(A116:A123,"* (inventaire)",R116:R123)</f>
        <v/>
      </c>
      <c r="S125" s="9">
        <f>SUM(S116:S123)-SUMIF(A116:A123,"* (inventaire)",S116:S123)</f>
        <v/>
      </c>
      <c r="T125" s="9">
        <f>SUM(T116:T123)-SUMIF(A116:A123,"* (inventaire)",T116:T123)</f>
        <v/>
      </c>
      <c r="U125" s="9">
        <f>SUM(U116:U123)-SUMIF(A116:A123,"* (inventaire)",U116:U123)</f>
        <v/>
      </c>
      <c r="V125" s="9">
        <f>SUM(V116:V123)-SUMIF(A116:A123,"* (inventaire)",V116:V123)</f>
        <v/>
      </c>
      <c r="W125" s="9">
        <f>SUM(W116:W123)-SUMIF(A116:A123,"* (inventaire)",W116:W123)</f>
        <v/>
      </c>
      <c r="X125" s="9">
        <f>SUM(X116:X123)-SUMIF(A116:A123,"* (inventaire)",X116:X123)</f>
        <v/>
      </c>
      <c r="Y125" s="9">
        <f>SUM(Y116:Y123)-SUMIF(A116:A123,"* (inventaire)",Y116:Y123)</f>
        <v/>
      </c>
      <c r="Z125" s="9">
        <f>SUM(Z116:Z123)-SUMIF(A116:A123,"* (inventaire)",Z116:Z123)</f>
        <v/>
      </c>
      <c r="AA125" s="9">
        <f>SUM(AA116:AA123)-SUMIF(A116:A123,"* (inventaire)",AA116:AA123)</f>
        <v/>
      </c>
      <c r="AB125" s="9">
        <f>SUM(AB116:AB123)-SUMIF(A116:A123,"* (inventaire)",AB116:AB123)</f>
        <v/>
      </c>
      <c r="AC125" s="9">
        <f>SUM(AC116:AC123)-SUMIF(A116:A123,"* (inventaire)",AC116:AC123)</f>
        <v/>
      </c>
      <c r="AD125" s="9">
        <f>SUM(AD116:AD123)-SUMIF(A116:A123,"* (inventaire)",AD116:AD123)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</row>
    <row r="128">
      <c r="A128" s="18" t="inlineStr">
        <is>
          <t>Récapitulatif : tous les plans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</row>
    <row r="129" ht="42" customHeight="1">
      <c r="A129" s="11" t="inlineStr">
        <is>
          <t>Plan</t>
        </is>
      </c>
      <c r="B129" s="11" t="inlineStr">
        <is>
          <t>Entrées template</t>
        </is>
      </c>
      <c r="C129" s="11" t="inlineStr">
        <is>
          <t>Structures</t>
        </is>
      </c>
      <c r="D129" s="11" t="inlineStr">
        <is>
          <t>dont tourelles (inventaire)</t>
        </is>
      </c>
      <c r="E129" s="11" t="inlineStr">
        <is>
          <t>Lingots de métal</t>
        </is>
      </c>
      <c r="F129" s="11" t="inlineStr">
        <is>
          <t>Pâte cimentée</t>
        </is>
      </c>
      <c r="G129" s="11" t="inlineStr">
        <is>
          <t>Électroniques</t>
        </is>
      </c>
      <c r="H129" s="11" t="inlineStr">
        <is>
          <t>Polymère</t>
        </is>
      </c>
      <c r="I129" s="11" t="inlineStr">
        <is>
          <t>Cristal</t>
        </is>
      </c>
      <c r="J129" s="11" t="inlineStr">
        <is>
          <t>Élément</t>
        </is>
      </c>
      <c r="K129" s="11" t="inlineStr">
        <is>
          <t>Perles noires</t>
        </is>
      </c>
      <c r="L129" s="11" t="inlineStr">
        <is>
          <t>Huile</t>
        </is>
      </c>
      <c r="M129" s="11" t="inlineStr">
        <is>
          <t>Poudre étincelante</t>
        </is>
      </c>
      <c r="N129" s="11" t="inlineStr">
        <is>
          <t>Cuir</t>
        </is>
      </c>
      <c r="O129" s="11" t="inlineStr">
        <is>
          <t>Fibre</t>
        </is>
      </c>
      <c r="P129" s="11" t="inlineStr">
        <is>
          <t>Chaume</t>
        </is>
      </c>
      <c r="Q129" s="11" t="inlineStr">
        <is>
          <t>Bois</t>
        </is>
      </c>
      <c r="R129" s="11" t="inlineStr">
        <is>
          <t>Pierre</t>
        </is>
      </c>
      <c r="S129" s="11" t="inlineStr">
        <is>
          <t>Lingots à fabriquer</t>
        </is>
      </c>
      <c r="T129" s="11" t="inlineStr">
        <is>
          <t>Pâte à fabriquer</t>
        </is>
      </c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</row>
    <row r="130">
      <c r="A130" s="6" t="inlineStr">
        <is>
          <t>Plan 01 sol complet</t>
        </is>
      </c>
      <c r="B130" s="19" t="n">
        <v>1030</v>
      </c>
      <c r="C130" s="19">
        <f>B8</f>
        <v/>
      </c>
      <c r="D130" s="19">
        <f>B8-B9</f>
        <v/>
      </c>
      <c r="E130" s="19">
        <f>Q8</f>
        <v/>
      </c>
      <c r="F130" s="19">
        <f>R8</f>
        <v/>
      </c>
      <c r="G130" s="19">
        <f>S8</f>
        <v/>
      </c>
      <c r="H130" s="19">
        <f>T8</f>
        <v/>
      </c>
      <c r="I130" s="19">
        <f>U8</f>
        <v/>
      </c>
      <c r="J130" s="19">
        <f>V8</f>
        <v/>
      </c>
      <c r="K130" s="19">
        <f>W8</f>
        <v/>
      </c>
      <c r="L130" s="19">
        <f>X8</f>
        <v/>
      </c>
      <c r="M130" s="19">
        <f>Y8</f>
        <v/>
      </c>
      <c r="N130" s="19">
        <f>Z8</f>
        <v/>
      </c>
      <c r="O130" s="19">
        <f>AA8</f>
        <v/>
      </c>
      <c r="P130" s="19">
        <f>AB8</f>
        <v/>
      </c>
      <c r="Q130" s="19">
        <f>AC8</f>
        <v/>
      </c>
      <c r="R130" s="19">
        <f>AD8</f>
        <v/>
      </c>
      <c r="S130" s="19">
        <f>Q9</f>
        <v/>
      </c>
      <c r="T130" s="19">
        <f>R9</f>
        <v/>
      </c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</row>
    <row r="131">
      <c r="A131" s="20" t="inlineStr">
        <is>
          <t>Plan 02 colonnade option</t>
        </is>
      </c>
      <c r="B131" s="19" t="n">
        <v>227</v>
      </c>
      <c r="C131" s="19">
        <f>B14</f>
        <v/>
      </c>
      <c r="D131" s="19">
        <f>B14-B15</f>
        <v/>
      </c>
      <c r="E131" s="19">
        <f>Q14</f>
        <v/>
      </c>
      <c r="F131" s="19">
        <f>R14</f>
        <v/>
      </c>
      <c r="G131" s="19">
        <f>S14</f>
        <v/>
      </c>
      <c r="H131" s="19">
        <f>T14</f>
        <v/>
      </c>
      <c r="I131" s="19">
        <f>U14</f>
        <v/>
      </c>
      <c r="J131" s="19">
        <f>V14</f>
        <v/>
      </c>
      <c r="K131" s="19">
        <f>W14</f>
        <v/>
      </c>
      <c r="L131" s="19">
        <f>X14</f>
        <v/>
      </c>
      <c r="M131" s="19">
        <f>Y14</f>
        <v/>
      </c>
      <c r="N131" s="19">
        <f>Z14</f>
        <v/>
      </c>
      <c r="O131" s="19">
        <f>AA14</f>
        <v/>
      </c>
      <c r="P131" s="19">
        <f>AB14</f>
        <v/>
      </c>
      <c r="Q131" s="19">
        <f>AC14</f>
        <v/>
      </c>
      <c r="R131" s="19">
        <f>AD14</f>
        <v/>
      </c>
      <c r="S131" s="19">
        <f>Q15</f>
        <v/>
      </c>
      <c r="T131" s="19">
        <f>R15</f>
        <v/>
      </c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</row>
    <row r="132">
      <c r="A132" s="6" t="inlineStr">
        <is>
          <t>Plan 03 bord D8-D7</t>
        </is>
      </c>
      <c r="B132" s="19" t="n">
        <v>947</v>
      </c>
      <c r="C132" s="19">
        <f>B25</f>
        <v/>
      </c>
      <c r="D132" s="19">
        <f>B25-B26</f>
        <v/>
      </c>
      <c r="E132" s="19">
        <f>Q25</f>
        <v/>
      </c>
      <c r="F132" s="19">
        <f>R25</f>
        <v/>
      </c>
      <c r="G132" s="19">
        <f>S25</f>
        <v/>
      </c>
      <c r="H132" s="19">
        <f>T25</f>
        <v/>
      </c>
      <c r="I132" s="19">
        <f>U25</f>
        <v/>
      </c>
      <c r="J132" s="19">
        <f>V25</f>
        <v/>
      </c>
      <c r="K132" s="19">
        <f>W25</f>
        <v/>
      </c>
      <c r="L132" s="19">
        <f>X25</f>
        <v/>
      </c>
      <c r="M132" s="19">
        <f>Y25</f>
        <v/>
      </c>
      <c r="N132" s="19">
        <f>Z25</f>
        <v/>
      </c>
      <c r="O132" s="19">
        <f>AA25</f>
        <v/>
      </c>
      <c r="P132" s="19">
        <f>AB25</f>
        <v/>
      </c>
      <c r="Q132" s="19">
        <f>AC25</f>
        <v/>
      </c>
      <c r="R132" s="19">
        <f>AD25</f>
        <v/>
      </c>
      <c r="S132" s="19">
        <f>Q26</f>
        <v/>
      </c>
      <c r="T132" s="19">
        <f>R26</f>
        <v/>
      </c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</row>
    <row r="133">
      <c r="A133" s="6" t="inlineStr">
        <is>
          <t>Plan 04 D7-D5 pente A</t>
        </is>
      </c>
      <c r="B133" s="19" t="n">
        <v>808</v>
      </c>
      <c r="C133" s="19">
        <f>B34</f>
        <v/>
      </c>
      <c r="D133" s="19">
        <f>B34-B35</f>
        <v/>
      </c>
      <c r="E133" s="19">
        <f>Q34</f>
        <v/>
      </c>
      <c r="F133" s="19">
        <f>R34</f>
        <v/>
      </c>
      <c r="G133" s="19">
        <f>S34</f>
        <v/>
      </c>
      <c r="H133" s="19">
        <f>T34</f>
        <v/>
      </c>
      <c r="I133" s="19">
        <f>U34</f>
        <v/>
      </c>
      <c r="J133" s="19">
        <f>V34</f>
        <v/>
      </c>
      <c r="K133" s="19">
        <f>W34</f>
        <v/>
      </c>
      <c r="L133" s="19">
        <f>X34</f>
        <v/>
      </c>
      <c r="M133" s="19">
        <f>Y34</f>
        <v/>
      </c>
      <c r="N133" s="19">
        <f>Z34</f>
        <v/>
      </c>
      <c r="O133" s="19">
        <f>AA34</f>
        <v/>
      </c>
      <c r="P133" s="19">
        <f>AB34</f>
        <v/>
      </c>
      <c r="Q133" s="19">
        <f>AC34</f>
        <v/>
      </c>
      <c r="R133" s="19">
        <f>AD34</f>
        <v/>
      </c>
      <c r="S133" s="19">
        <f>Q35</f>
        <v/>
      </c>
      <c r="T133" s="19">
        <f>R35</f>
        <v/>
      </c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</row>
    <row r="134">
      <c r="A134" s="6" t="inlineStr">
        <is>
          <t>Plan 05 tour du pod D4</t>
        </is>
      </c>
      <c r="B134" s="19" t="n">
        <v>946</v>
      </c>
      <c r="C134" s="19">
        <f>B46</f>
        <v/>
      </c>
      <c r="D134" s="19">
        <f>B46-B47</f>
        <v/>
      </c>
      <c r="E134" s="19">
        <f>Q46</f>
        <v/>
      </c>
      <c r="F134" s="19">
        <f>R46</f>
        <v/>
      </c>
      <c r="G134" s="19">
        <f>S46</f>
        <v/>
      </c>
      <c r="H134" s="19">
        <f>T46</f>
        <v/>
      </c>
      <c r="I134" s="19">
        <f>U46</f>
        <v/>
      </c>
      <c r="J134" s="19">
        <f>V46</f>
        <v/>
      </c>
      <c r="K134" s="19">
        <f>W46</f>
        <v/>
      </c>
      <c r="L134" s="19">
        <f>X46</f>
        <v/>
      </c>
      <c r="M134" s="19">
        <f>Y46</f>
        <v/>
      </c>
      <c r="N134" s="19">
        <f>Z46</f>
        <v/>
      </c>
      <c r="O134" s="19">
        <f>AA46</f>
        <v/>
      </c>
      <c r="P134" s="19">
        <f>AB46</f>
        <v/>
      </c>
      <c r="Q134" s="19">
        <f>AC46</f>
        <v/>
      </c>
      <c r="R134" s="19">
        <f>AD46</f>
        <v/>
      </c>
      <c r="S134" s="19">
        <f>Q47</f>
        <v/>
      </c>
      <c r="T134" s="19">
        <f>R47</f>
        <v/>
      </c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</row>
    <row r="135">
      <c r="A135" s="6" t="inlineStr">
        <is>
          <t>Plan 06 D5-D4 cage et appentis</t>
        </is>
      </c>
      <c r="B135" s="19" t="n">
        <v>1046</v>
      </c>
      <c r="C135" s="19">
        <f>B58</f>
        <v/>
      </c>
      <c r="D135" s="19">
        <f>B58-B59</f>
        <v/>
      </c>
      <c r="E135" s="19">
        <f>Q58</f>
        <v/>
      </c>
      <c r="F135" s="19">
        <f>R58</f>
        <v/>
      </c>
      <c r="G135" s="19">
        <f>S58</f>
        <v/>
      </c>
      <c r="H135" s="19">
        <f>T58</f>
        <v/>
      </c>
      <c r="I135" s="19">
        <f>U58</f>
        <v/>
      </c>
      <c r="J135" s="19">
        <f>V58</f>
        <v/>
      </c>
      <c r="K135" s="19">
        <f>W58</f>
        <v/>
      </c>
      <c r="L135" s="19">
        <f>X58</f>
        <v/>
      </c>
      <c r="M135" s="19">
        <f>Y58</f>
        <v/>
      </c>
      <c r="N135" s="19">
        <f>Z58</f>
        <v/>
      </c>
      <c r="O135" s="19">
        <f>AA58</f>
        <v/>
      </c>
      <c r="P135" s="19">
        <f>AB58</f>
        <v/>
      </c>
      <c r="Q135" s="19">
        <f>AC58</f>
        <v/>
      </c>
      <c r="R135" s="19">
        <f>AD58</f>
        <v/>
      </c>
      <c r="S135" s="19">
        <f>Q59</f>
        <v/>
      </c>
      <c r="T135" s="19">
        <f>R59</f>
        <v/>
      </c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</row>
    <row r="136">
      <c r="A136" s="6" t="inlineStr">
        <is>
          <t>Plan 07 tourelles D8-D4</t>
        </is>
      </c>
      <c r="B136" s="19" t="n">
        <v>71</v>
      </c>
      <c r="C136" s="19">
        <f>B67</f>
        <v/>
      </c>
      <c r="D136" s="19">
        <f>B67-B68</f>
        <v/>
      </c>
      <c r="E136" s="19">
        <f>Q67</f>
        <v/>
      </c>
      <c r="F136" s="19">
        <f>R67</f>
        <v/>
      </c>
      <c r="G136" s="19">
        <f>S67</f>
        <v/>
      </c>
      <c r="H136" s="19">
        <f>T67</f>
        <v/>
      </c>
      <c r="I136" s="19">
        <f>U67</f>
        <v/>
      </c>
      <c r="J136" s="19">
        <f>V67</f>
        <v/>
      </c>
      <c r="K136" s="19">
        <f>W67</f>
        <v/>
      </c>
      <c r="L136" s="19">
        <f>X67</f>
        <v/>
      </c>
      <c r="M136" s="19">
        <f>Y67</f>
        <v/>
      </c>
      <c r="N136" s="19">
        <f>Z67</f>
        <v/>
      </c>
      <c r="O136" s="19">
        <f>AA67</f>
        <v/>
      </c>
      <c r="P136" s="19">
        <f>AB67</f>
        <v/>
      </c>
      <c r="Q136" s="19">
        <f>AC67</f>
        <v/>
      </c>
      <c r="R136" s="19">
        <f>AD67</f>
        <v/>
      </c>
      <c r="S136" s="19">
        <f>Q68</f>
        <v/>
      </c>
      <c r="T136" s="19">
        <f>R68</f>
        <v/>
      </c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</row>
    <row r="137">
      <c r="A137" s="6" t="inlineStr">
        <is>
          <t>Plan 08 tourelles perimetre pod</t>
        </is>
      </c>
      <c r="B137" s="19" t="n">
        <v>21</v>
      </c>
      <c r="C137" s="19">
        <f>B76</f>
        <v/>
      </c>
      <c r="D137" s="19">
        <f>B76-B77</f>
        <v/>
      </c>
      <c r="E137" s="19">
        <f>Q76</f>
        <v/>
      </c>
      <c r="F137" s="19">
        <f>R76</f>
        <v/>
      </c>
      <c r="G137" s="19">
        <f>S76</f>
        <v/>
      </c>
      <c r="H137" s="19">
        <f>T76</f>
        <v/>
      </c>
      <c r="I137" s="19">
        <f>U76</f>
        <v/>
      </c>
      <c r="J137" s="19">
        <f>V76</f>
        <v/>
      </c>
      <c r="K137" s="19">
        <f>W76</f>
        <v/>
      </c>
      <c r="L137" s="19">
        <f>X76</f>
        <v/>
      </c>
      <c r="M137" s="19">
        <f>Y76</f>
        <v/>
      </c>
      <c r="N137" s="19">
        <f>Z76</f>
        <v/>
      </c>
      <c r="O137" s="19">
        <f>AA76</f>
        <v/>
      </c>
      <c r="P137" s="19">
        <f>AB76</f>
        <v/>
      </c>
      <c r="Q137" s="19">
        <f>AC76</f>
        <v/>
      </c>
      <c r="R137" s="19">
        <f>AD76</f>
        <v/>
      </c>
      <c r="S137" s="19">
        <f>Q77</f>
        <v/>
      </c>
      <c r="T137" s="19">
        <f>R77</f>
        <v/>
      </c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</row>
    <row r="138">
      <c r="A138" s="6" t="inlineStr">
        <is>
          <t>Plan 09 toiture pleine D4-centre</t>
        </is>
      </c>
      <c r="B138" s="19" t="n">
        <v>335</v>
      </c>
      <c r="C138" s="19">
        <f>B86</f>
        <v/>
      </c>
      <c r="D138" s="19">
        <f>B86-B87</f>
        <v/>
      </c>
      <c r="E138" s="19">
        <f>Q86</f>
        <v/>
      </c>
      <c r="F138" s="19">
        <f>R86</f>
        <v/>
      </c>
      <c r="G138" s="19">
        <f>S86</f>
        <v/>
      </c>
      <c r="H138" s="19">
        <f>T86</f>
        <v/>
      </c>
      <c r="I138" s="19">
        <f>U86</f>
        <v/>
      </c>
      <c r="J138" s="19">
        <f>V86</f>
        <v/>
      </c>
      <c r="K138" s="19">
        <f>W86</f>
        <v/>
      </c>
      <c r="L138" s="19">
        <f>X86</f>
        <v/>
      </c>
      <c r="M138" s="19">
        <f>Y86</f>
        <v/>
      </c>
      <c r="N138" s="19">
        <f>Z86</f>
        <v/>
      </c>
      <c r="O138" s="19">
        <f>AA86</f>
        <v/>
      </c>
      <c r="P138" s="19">
        <f>AB86</f>
        <v/>
      </c>
      <c r="Q138" s="19">
        <f>AC86</f>
        <v/>
      </c>
      <c r="R138" s="19">
        <f>AD86</f>
        <v/>
      </c>
      <c r="S138" s="19">
        <f>Q87</f>
        <v/>
      </c>
      <c r="T138" s="19">
        <f>R87</f>
        <v/>
      </c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</row>
    <row r="139">
      <c r="A139" s="6" t="inlineStr">
        <is>
          <t>Plan 10 toit en rampes D4-centre</t>
        </is>
      </c>
      <c r="B139" s="19" t="n">
        <v>467</v>
      </c>
      <c r="C139" s="19">
        <f>B94</f>
        <v/>
      </c>
      <c r="D139" s="19">
        <f>B94-B95</f>
        <v/>
      </c>
      <c r="E139" s="19">
        <f>Q94</f>
        <v/>
      </c>
      <c r="F139" s="19">
        <f>R94</f>
        <v/>
      </c>
      <c r="G139" s="19">
        <f>S94</f>
        <v/>
      </c>
      <c r="H139" s="19">
        <f>T94</f>
        <v/>
      </c>
      <c r="I139" s="19">
        <f>U94</f>
        <v/>
      </c>
      <c r="J139" s="19">
        <f>V94</f>
        <v/>
      </c>
      <c r="K139" s="19">
        <f>W94</f>
        <v/>
      </c>
      <c r="L139" s="19">
        <f>X94</f>
        <v/>
      </c>
      <c r="M139" s="19">
        <f>Y94</f>
        <v/>
      </c>
      <c r="N139" s="19">
        <f>Z94</f>
        <v/>
      </c>
      <c r="O139" s="19">
        <f>AA94</f>
        <v/>
      </c>
      <c r="P139" s="19">
        <f>AB94</f>
        <v/>
      </c>
      <c r="Q139" s="19">
        <f>AC94</f>
        <v/>
      </c>
      <c r="R139" s="19">
        <f>AD94</f>
        <v/>
      </c>
      <c r="S139" s="19">
        <f>Q95</f>
        <v/>
      </c>
      <c r="T139" s="19">
        <f>R95</f>
        <v/>
      </c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</row>
    <row r="140">
      <c r="A140" s="6" t="inlineStr">
        <is>
          <t>Plan 11 tourelles dessus</t>
        </is>
      </c>
      <c r="B140" s="19" t="n">
        <v>11</v>
      </c>
      <c r="C140" s="19">
        <f>B104</f>
        <v/>
      </c>
      <c r="D140" s="19">
        <f>B104-B105</f>
        <v/>
      </c>
      <c r="E140" s="19">
        <f>Q104</f>
        <v/>
      </c>
      <c r="F140" s="19">
        <f>R104</f>
        <v/>
      </c>
      <c r="G140" s="19">
        <f>S104</f>
        <v/>
      </c>
      <c r="H140" s="19">
        <f>T104</f>
        <v/>
      </c>
      <c r="I140" s="19">
        <f>U104</f>
        <v/>
      </c>
      <c r="J140" s="19">
        <f>V104</f>
        <v/>
      </c>
      <c r="K140" s="19">
        <f>W104</f>
        <v/>
      </c>
      <c r="L140" s="19">
        <f>X104</f>
        <v/>
      </c>
      <c r="M140" s="19">
        <f>Y104</f>
        <v/>
      </c>
      <c r="N140" s="19">
        <f>Z104</f>
        <v/>
      </c>
      <c r="O140" s="19">
        <f>AA104</f>
        <v/>
      </c>
      <c r="P140" s="19">
        <f>AB104</f>
        <v/>
      </c>
      <c r="Q140" s="19">
        <f>AC104</f>
        <v/>
      </c>
      <c r="R140" s="19">
        <f>AD104</f>
        <v/>
      </c>
      <c r="S140" s="19">
        <f>Q105</f>
        <v/>
      </c>
      <c r="T140" s="19">
        <f>R105</f>
        <v/>
      </c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</row>
    <row r="141">
      <c r="A141" s="20" t="inlineStr">
        <is>
          <t>Option rehausse pod +1 niveau (par niveau)</t>
        </is>
      </c>
      <c r="B141" s="19" t="n">
        <v>76</v>
      </c>
      <c r="C141" s="19">
        <f>B111</f>
        <v/>
      </c>
      <c r="D141" s="19">
        <f>B111-B112</f>
        <v/>
      </c>
      <c r="E141" s="19">
        <f>Q111</f>
        <v/>
      </c>
      <c r="F141" s="19">
        <f>R111</f>
        <v/>
      </c>
      <c r="G141" s="19">
        <f>S111</f>
        <v/>
      </c>
      <c r="H141" s="19">
        <f>T111</f>
        <v/>
      </c>
      <c r="I141" s="19">
        <f>U111</f>
        <v/>
      </c>
      <c r="J141" s="19">
        <f>V111</f>
        <v/>
      </c>
      <c r="K141" s="19">
        <f>W111</f>
        <v/>
      </c>
      <c r="L141" s="19">
        <f>X111</f>
        <v/>
      </c>
      <c r="M141" s="19">
        <f>Y111</f>
        <v/>
      </c>
      <c r="N141" s="19">
        <f>Z111</f>
        <v/>
      </c>
      <c r="O141" s="19">
        <f>AA111</f>
        <v/>
      </c>
      <c r="P141" s="19">
        <f>AB111</f>
        <v/>
      </c>
      <c r="Q141" s="19">
        <f>AC111</f>
        <v/>
      </c>
      <c r="R141" s="19">
        <f>AD111</f>
        <v/>
      </c>
      <c r="S141" s="19">
        <f>Q112</f>
        <v/>
      </c>
      <c r="T141" s="19">
        <f>R112</f>
        <v/>
      </c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</row>
    <row r="142">
      <c r="A142" s="20" t="inlineStr">
        <is>
          <t>Hors plans : pics, équipements, ancres temporaires</t>
        </is>
      </c>
      <c r="B142" s="21" t="n"/>
      <c r="C142" s="19">
        <f>B124</f>
        <v/>
      </c>
      <c r="D142" s="19">
        <f>B124-B125</f>
        <v/>
      </c>
      <c r="E142" s="19">
        <f>Q124</f>
        <v/>
      </c>
      <c r="F142" s="19">
        <f>R124</f>
        <v/>
      </c>
      <c r="G142" s="19">
        <f>S124</f>
        <v/>
      </c>
      <c r="H142" s="19">
        <f>T124</f>
        <v/>
      </c>
      <c r="I142" s="19">
        <f>U124</f>
        <v/>
      </c>
      <c r="J142" s="19">
        <f>V124</f>
        <v/>
      </c>
      <c r="K142" s="19">
        <f>W124</f>
        <v/>
      </c>
      <c r="L142" s="19">
        <f>X124</f>
        <v/>
      </c>
      <c r="M142" s="19">
        <f>Y124</f>
        <v/>
      </c>
      <c r="N142" s="19">
        <f>Z124</f>
        <v/>
      </c>
      <c r="O142" s="19">
        <f>AA124</f>
        <v/>
      </c>
      <c r="P142" s="19">
        <f>AB124</f>
        <v/>
      </c>
      <c r="Q142" s="19">
        <f>AC124</f>
        <v/>
      </c>
      <c r="R142" s="19">
        <f>AD124</f>
        <v/>
      </c>
      <c r="S142" s="19">
        <f>Q125</f>
        <v/>
      </c>
      <c r="T142" s="19">
        <f>R125</f>
        <v/>
      </c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</row>
    <row r="143">
      <c r="A143" s="8" t="inlineStr">
        <is>
          <t>Total des plans (sans les options)</t>
        </is>
      </c>
      <c r="B143" s="9">
        <f>B130+B132+B133+B134+B135+B136+B137+B138+B139+B140</f>
        <v/>
      </c>
      <c r="C143" s="9">
        <f>C130+C132+C133+C134+C135+C136+C137+C138+C139+C140</f>
        <v/>
      </c>
      <c r="D143" s="9">
        <f>D130+D132+D133+D134+D135+D136+D137+D138+D139+D140</f>
        <v/>
      </c>
      <c r="E143" s="9">
        <f>E130+E132+E133+E134+E135+E136+E137+E138+E139+E140</f>
        <v/>
      </c>
      <c r="F143" s="9">
        <f>F130+F132+F133+F134+F135+F136+F137+F138+F139+F140</f>
        <v/>
      </c>
      <c r="G143" s="9">
        <f>G130+G132+G133+G134+G135+G136+G137+G138+G139+G140</f>
        <v/>
      </c>
      <c r="H143" s="9">
        <f>H130+H132+H133+H134+H135+H136+H137+H138+H139+H140</f>
        <v/>
      </c>
      <c r="I143" s="9">
        <f>I130+I132+I133+I134+I135+I136+I137+I138+I139+I140</f>
        <v/>
      </c>
      <c r="J143" s="9">
        <f>J130+J132+J133+J134+J135+J136+J137+J138+J139+J140</f>
        <v/>
      </c>
      <c r="K143" s="9">
        <f>K130+K132+K133+K134+K135+K136+K137+K138+K139+K140</f>
        <v/>
      </c>
      <c r="L143" s="9">
        <f>L130+L132+L133+L134+L135+L136+L137+L138+L139+L140</f>
        <v/>
      </c>
      <c r="M143" s="9">
        <f>M130+M132+M133+M134+M135+M136+M137+M138+M139+M140</f>
        <v/>
      </c>
      <c r="N143" s="9">
        <f>N130+N132+N133+N134+N135+N136+N137+N138+N139+N140</f>
        <v/>
      </c>
      <c r="O143" s="9">
        <f>O130+O132+O133+O134+O135+O136+O137+O138+O139+O140</f>
        <v/>
      </c>
      <c r="P143" s="9">
        <f>P130+P132+P133+P134+P135+P136+P137+P138+P139+P140</f>
        <v/>
      </c>
      <c r="Q143" s="9">
        <f>Q130+Q132+Q133+Q134+Q135+Q136+Q137+Q138+Q139+Q140</f>
        <v/>
      </c>
      <c r="R143" s="9">
        <f>R130+R132+R133+R134+R135+R136+R137+R138+R139+R140</f>
        <v/>
      </c>
      <c r="S143" s="9">
        <f>S130+S132+S133+S134+S135+S136+S137+S138+S139+S140</f>
        <v/>
      </c>
      <c r="T143" s="9">
        <f>T130+T132+T133+T134+T135+T136+T137+T138+T139+T140</f>
        <v/>
      </c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</row>
    <row r="144">
      <c r="A144" s="8" t="inlineStr">
        <is>
          <t>Total de la base (plans + hors plans)</t>
        </is>
      </c>
      <c r="B144" s="9">
        <f>B130+B132+B133+B134+B135+B136+B137+B138+B139+B140+B142</f>
        <v/>
      </c>
      <c r="C144" s="9">
        <f>C130+C132+C133+C134+C135+C136+C137+C138+C139+C140+C142</f>
        <v/>
      </c>
      <c r="D144" s="9">
        <f>D130+D132+D133+D134+D135+D136+D137+D138+D139+D140+D142</f>
        <v/>
      </c>
      <c r="E144" s="9">
        <f>E130+E132+E133+E134+E135+E136+E137+E138+E139+E140+E142</f>
        <v/>
      </c>
      <c r="F144" s="9">
        <f>F130+F132+F133+F134+F135+F136+F137+F138+F139+F140+F142</f>
        <v/>
      </c>
      <c r="G144" s="9">
        <f>G130+G132+G133+G134+G135+G136+G137+G138+G139+G140+G142</f>
        <v/>
      </c>
      <c r="H144" s="9">
        <f>H130+H132+H133+H134+H135+H136+H137+H138+H139+H140+H142</f>
        <v/>
      </c>
      <c r="I144" s="9">
        <f>I130+I132+I133+I134+I135+I136+I137+I138+I139+I140+I142</f>
        <v/>
      </c>
      <c r="J144" s="9">
        <f>J130+J132+J133+J134+J135+J136+J137+J138+J139+J140+J142</f>
        <v/>
      </c>
      <c r="K144" s="9">
        <f>K130+K132+K133+K134+K135+K136+K137+K138+K139+K140+K142</f>
        <v/>
      </c>
      <c r="L144" s="9">
        <f>L130+L132+L133+L134+L135+L136+L137+L138+L139+L140+L142</f>
        <v/>
      </c>
      <c r="M144" s="9">
        <f>M130+M132+M133+M134+M135+M136+M137+M138+M139+M140+M142</f>
        <v/>
      </c>
      <c r="N144" s="9">
        <f>N130+N132+N133+N134+N135+N136+N137+N138+N139+N140+N142</f>
        <v/>
      </c>
      <c r="O144" s="9">
        <f>O130+O132+O133+O134+O135+O136+O137+O138+O139+O140+O142</f>
        <v/>
      </c>
      <c r="P144" s="9">
        <f>P130+P132+P133+P134+P135+P136+P137+P138+P139+P140+P142</f>
        <v/>
      </c>
      <c r="Q144" s="9">
        <f>Q130+Q132+Q133+Q134+Q135+Q136+Q137+Q138+Q139+Q140+Q142</f>
        <v/>
      </c>
      <c r="R144" s="9">
        <f>R130+R132+R133+R134+R135+R136+R137+R138+R139+R140+R142</f>
        <v/>
      </c>
      <c r="S144" s="9">
        <f>S130+S132+S133+S134+S135+S136+S137+S138+S139+S140+S142</f>
        <v/>
      </c>
      <c r="T144" s="9">
        <f>T130+T132+T133+T134+T135+T136+T137+T138+T139+T140+T142</f>
        <v/>
      </c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</row>
    <row r="145">
      <c r="A145" s="8" t="inlineStr">
        <is>
          <t>Total avec la colonnade et 1 rehausse</t>
        </is>
      </c>
      <c r="B145" s="9">
        <f>B130+B132+B133+B134+B135+B136+B137+B138+B139+B140+B142+B131+B141</f>
        <v/>
      </c>
      <c r="C145" s="9">
        <f>C130+C132+C133+C134+C135+C136+C137+C138+C139+C140+C142+C131+C141</f>
        <v/>
      </c>
      <c r="D145" s="9">
        <f>D130+D132+D133+D134+D135+D136+D137+D138+D139+D140+D142+D131+D141</f>
        <v/>
      </c>
      <c r="E145" s="9">
        <f>E130+E132+E133+E134+E135+E136+E137+E138+E139+E140+E142+E131+E141</f>
        <v/>
      </c>
      <c r="F145" s="9">
        <f>F130+F132+F133+F134+F135+F136+F137+F138+F139+F140+F142+F131+F141</f>
        <v/>
      </c>
      <c r="G145" s="9">
        <f>G130+G132+G133+G134+G135+G136+G137+G138+G139+G140+G142+G131+G141</f>
        <v/>
      </c>
      <c r="H145" s="9">
        <f>H130+H132+H133+H134+H135+H136+H137+H138+H139+H140+H142+H131+H141</f>
        <v/>
      </c>
      <c r="I145" s="9">
        <f>I130+I132+I133+I134+I135+I136+I137+I138+I139+I140+I142+I131+I141</f>
        <v/>
      </c>
      <c r="J145" s="9">
        <f>J130+J132+J133+J134+J135+J136+J137+J138+J139+J140+J142+J131+J141</f>
        <v/>
      </c>
      <c r="K145" s="9">
        <f>K130+K132+K133+K134+K135+K136+K137+K138+K139+K140+K142+K131+K141</f>
        <v/>
      </c>
      <c r="L145" s="9">
        <f>L130+L132+L133+L134+L135+L136+L137+L138+L139+L140+L142+L131+L141</f>
        <v/>
      </c>
      <c r="M145" s="9">
        <f>M130+M132+M133+M134+M135+M136+M137+M138+M139+M140+M142+M131+M141</f>
        <v/>
      </c>
      <c r="N145" s="9">
        <f>N130+N132+N133+N134+N135+N136+N137+N138+N139+N140+N142+N131+N141</f>
        <v/>
      </c>
      <c r="O145" s="9">
        <f>O130+O132+O133+O134+O135+O136+O137+O138+O139+O140+O142+O131+O141</f>
        <v/>
      </c>
      <c r="P145" s="9">
        <f>P130+P132+P133+P134+P135+P136+P137+P138+P139+P140+P142+P131+P141</f>
        <v/>
      </c>
      <c r="Q145" s="9">
        <f>Q130+Q132+Q133+Q134+Q135+Q136+Q137+Q138+Q139+Q140+Q142+Q131+Q141</f>
        <v/>
      </c>
      <c r="R145" s="9">
        <f>R130+R132+R133+R134+R135+R136+R137+R138+R139+R140+R142+R131+R141</f>
        <v/>
      </c>
      <c r="S145" s="9">
        <f>S130+S132+S133+S134+S135+S136+S137+S138+S139+S140+S142+S131+S141</f>
        <v/>
      </c>
      <c r="T145" s="9">
        <f>T130+T132+T133+T134+T135+T136+T137+T138+T139+T140+T142+T131+T141</f>
        <v/>
      </c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</row>
    <row r="147">
      <c r="A147" s="3" t="inlineStr">
        <is>
          <t>Structures : pièces posées, ancres comprises dans « hors plans », murs de chaume compris dans les plans (démolis ensuite). Les Plant X comptent dans le cap de 100 mais leur carré de culture est la seule structure posée.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2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</cols>
  <sheetData>
    <row r="1">
      <c r="A1" s="1" t="inlineStr">
        <is>
          <t>Bilan matériaux — détail par pièce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>
      <c r="A2" s="3" t="inlineStr">
        <is>
          <t>Bleu = donnée saisie (nombre de pièces, coût unitaire) : modifiez-la, tout se recalcule. Noir = formule. Coûts unitaires : module 07 §6 et README §9 ; « oui » en colonne Estimation = coût non trouvé dans les sources.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</row>
    <row r="4" ht="42" customHeight="1">
      <c r="A4" s="11" t="inlineStr">
        <is>
          <t>Poste</t>
        </is>
      </c>
      <c r="B4" s="11" t="inlineStr">
        <is>
          <t>Pièce</t>
        </is>
      </c>
      <c r="C4" s="11" t="inlineStr">
        <is>
          <t>Nombre</t>
        </is>
      </c>
      <c r="D4" s="11" t="inlineStr">
        <is>
          <t>Estimation</t>
        </is>
      </c>
      <c r="E4" s="11" t="inlineStr">
        <is>
          <t>Lingots de métal / u</t>
        </is>
      </c>
      <c r="F4" s="11" t="inlineStr">
        <is>
          <t>Pâte cimentée / u</t>
        </is>
      </c>
      <c r="G4" s="11" t="inlineStr">
        <is>
          <t>Électroniques / u</t>
        </is>
      </c>
      <c r="H4" s="11" t="inlineStr">
        <is>
          <t>Polymère / u</t>
        </is>
      </c>
      <c r="I4" s="11" t="inlineStr">
        <is>
          <t>Cristal / u</t>
        </is>
      </c>
      <c r="J4" s="11" t="inlineStr">
        <is>
          <t>Élément / u</t>
        </is>
      </c>
      <c r="K4" s="11" t="inlineStr">
        <is>
          <t>Perles noires / u</t>
        </is>
      </c>
      <c r="L4" s="11" t="inlineStr">
        <is>
          <t>Huile / u</t>
        </is>
      </c>
      <c r="M4" s="11" t="inlineStr">
        <is>
          <t>Poudre étincelante / u</t>
        </is>
      </c>
      <c r="N4" s="11" t="inlineStr">
        <is>
          <t>Cuir / u</t>
        </is>
      </c>
      <c r="O4" s="11" t="inlineStr">
        <is>
          <t>Fibre / u</t>
        </is>
      </c>
      <c r="P4" s="11" t="inlineStr">
        <is>
          <t>Chaume / u</t>
        </is>
      </c>
      <c r="Q4" s="11" t="inlineStr">
        <is>
          <t>Bois / u</t>
        </is>
      </c>
      <c r="R4" s="11" t="inlineStr">
        <is>
          <t>Pierre / u</t>
        </is>
      </c>
      <c r="S4" s="11" t="inlineStr">
        <is>
          <t>Lingots de métal total</t>
        </is>
      </c>
      <c r="T4" s="11" t="inlineStr">
        <is>
          <t>Pâte cimentée total</t>
        </is>
      </c>
      <c r="U4" s="11" t="inlineStr">
        <is>
          <t>Électroniques total</t>
        </is>
      </c>
      <c r="V4" s="11" t="inlineStr">
        <is>
          <t>Polymère total</t>
        </is>
      </c>
      <c r="W4" s="11" t="inlineStr">
        <is>
          <t>Cristal total</t>
        </is>
      </c>
      <c r="X4" s="11" t="inlineStr">
        <is>
          <t>Élément total</t>
        </is>
      </c>
      <c r="Y4" s="11" t="inlineStr">
        <is>
          <t>Perles noires total</t>
        </is>
      </c>
      <c r="Z4" s="11" t="inlineStr">
        <is>
          <t>Huile total</t>
        </is>
      </c>
      <c r="AA4" s="11" t="inlineStr">
        <is>
          <t>Poudre étincelante total</t>
        </is>
      </c>
      <c r="AB4" s="11" t="inlineStr">
        <is>
          <t>Cuir total</t>
        </is>
      </c>
      <c r="AC4" s="11" t="inlineStr">
        <is>
          <t>Fibre total</t>
        </is>
      </c>
      <c r="AD4" s="11" t="inlineStr">
        <is>
          <t>Chaume total</t>
        </is>
      </c>
      <c r="AE4" s="11" t="inlineStr">
        <is>
          <t>Bois total</t>
        </is>
      </c>
      <c r="AF4" s="11" t="inlineStr">
        <is>
          <t>Pierre total</t>
        </is>
      </c>
    </row>
    <row r="5">
      <c r="A5" s="6" t="inlineStr">
        <is>
          <t>Structure des plans (sans la colonnade)</t>
        </is>
      </c>
      <c r="B5" s="6" t="inlineStr">
        <is>
          <t>Pilier fin métal (Thin Pillar)</t>
        </is>
      </c>
      <c r="C5" s="22" t="n">
        <v>1027</v>
      </c>
      <c r="D5" s="6" t="inlineStr">
        <is>
          <t>oui</t>
        </is>
      </c>
      <c r="E5" s="16" t="n">
        <v>13</v>
      </c>
      <c r="F5" s="16" t="n">
        <v>4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4">
        <f>$C5*E5</f>
        <v/>
      </c>
      <c r="T5" s="14">
        <f>$C5*F5</f>
        <v/>
      </c>
      <c r="U5" s="14">
        <f>$C5*G5</f>
        <v/>
      </c>
      <c r="V5" s="14">
        <f>$C5*H5</f>
        <v/>
      </c>
      <c r="W5" s="14">
        <f>$C5*I5</f>
        <v/>
      </c>
      <c r="X5" s="14">
        <f>$C5*J5</f>
        <v/>
      </c>
      <c r="Y5" s="14">
        <f>$C5*K5</f>
        <v/>
      </c>
      <c r="Z5" s="14">
        <f>$C5*L5</f>
        <v/>
      </c>
      <c r="AA5" s="14">
        <f>$C5*M5</f>
        <v/>
      </c>
      <c r="AB5" s="14">
        <f>$C5*N5</f>
        <v/>
      </c>
      <c r="AC5" s="14">
        <f>$C5*O5</f>
        <v/>
      </c>
      <c r="AD5" s="14">
        <f>$C5*P5</f>
        <v/>
      </c>
      <c r="AE5" s="14">
        <f>$C5*Q5</f>
        <v/>
      </c>
      <c r="AF5" s="14">
        <f>$C5*R5</f>
        <v/>
      </c>
    </row>
    <row r="6">
      <c r="A6" s="6" t="inlineStr">
        <is>
          <t>Structure des plans (sans la colonnade)</t>
        </is>
      </c>
      <c r="B6" s="6" t="inlineStr">
        <is>
          <t>Rampe inclinée métal (Sloped Railing)</t>
        </is>
      </c>
      <c r="C6" s="22" t="n">
        <v>852</v>
      </c>
      <c r="D6" s="6" t="inlineStr">
        <is>
          <t>oui</t>
        </is>
      </c>
      <c r="E6" s="16" t="n">
        <v>12</v>
      </c>
      <c r="F6" s="16" t="n">
        <v>3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6" t="n">
        <v>0</v>
      </c>
      <c r="S6" s="14">
        <f>$C6*E6</f>
        <v/>
      </c>
      <c r="T6" s="14">
        <f>$C6*F6</f>
        <v/>
      </c>
      <c r="U6" s="14">
        <f>$C6*G6</f>
        <v/>
      </c>
      <c r="V6" s="14">
        <f>$C6*H6</f>
        <v/>
      </c>
      <c r="W6" s="14">
        <f>$C6*I6</f>
        <v/>
      </c>
      <c r="X6" s="14">
        <f>$C6*J6</f>
        <v/>
      </c>
      <c r="Y6" s="14">
        <f>$C6*K6</f>
        <v/>
      </c>
      <c r="Z6" s="14">
        <f>$C6*L6</f>
        <v/>
      </c>
      <c r="AA6" s="14">
        <f>$C6*M6</f>
        <v/>
      </c>
      <c r="AB6" s="14">
        <f>$C6*N6</f>
        <v/>
      </c>
      <c r="AC6" s="14">
        <f>$C6*O6</f>
        <v/>
      </c>
      <c r="AD6" s="14">
        <f>$C6*P6</f>
        <v/>
      </c>
      <c r="AE6" s="14">
        <f>$C6*Q6</f>
        <v/>
      </c>
      <c r="AF6" s="14">
        <f>$C6*R6</f>
        <v/>
      </c>
    </row>
    <row r="7">
      <c r="A7" s="6" t="inlineStr">
        <is>
          <t>Structure des plans (sans la colonnade)</t>
        </is>
      </c>
      <c r="B7" s="6" t="inlineStr">
        <is>
          <t>Cadre de porte double métal</t>
        </is>
      </c>
      <c r="C7" s="22" t="n">
        <v>774</v>
      </c>
      <c r="D7" s="6" t="inlineStr">
        <is>
          <t>oui</t>
        </is>
      </c>
      <c r="E7" s="16" t="n">
        <v>25</v>
      </c>
      <c r="F7" s="16" t="n">
        <v>7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14">
        <f>$C7*E7</f>
        <v/>
      </c>
      <c r="T7" s="14">
        <f>$C7*F7</f>
        <v/>
      </c>
      <c r="U7" s="14">
        <f>$C7*G7</f>
        <v/>
      </c>
      <c r="V7" s="14">
        <f>$C7*H7</f>
        <v/>
      </c>
      <c r="W7" s="14">
        <f>$C7*I7</f>
        <v/>
      </c>
      <c r="X7" s="14">
        <f>$C7*J7</f>
        <v/>
      </c>
      <c r="Y7" s="14">
        <f>$C7*K7</f>
        <v/>
      </c>
      <c r="Z7" s="14">
        <f>$C7*L7</f>
        <v/>
      </c>
      <c r="AA7" s="14">
        <f>$C7*M7</f>
        <v/>
      </c>
      <c r="AB7" s="14">
        <f>$C7*N7</f>
        <v/>
      </c>
      <c r="AC7" s="14">
        <f>$C7*O7</f>
        <v/>
      </c>
      <c r="AD7" s="14">
        <f>$C7*P7</f>
        <v/>
      </c>
      <c r="AE7" s="14">
        <f>$C7*Q7</f>
        <v/>
      </c>
      <c r="AF7" s="14">
        <f>$C7*R7</f>
        <v/>
      </c>
    </row>
    <row r="8">
      <c r="A8" s="6" t="inlineStr">
        <is>
          <t>Structure des plans (sans la colonnade)</t>
        </is>
      </c>
      <c r="B8" s="6" t="inlineStr">
        <is>
          <t>Fondation triangle métal</t>
        </is>
      </c>
      <c r="C8" s="22" t="n">
        <v>684</v>
      </c>
      <c r="D8" s="6" t="inlineStr"/>
      <c r="E8" s="16" t="n">
        <v>25</v>
      </c>
      <c r="F8" s="16" t="n">
        <v>8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4">
        <f>$C8*E8</f>
        <v/>
      </c>
      <c r="T8" s="14">
        <f>$C8*F8</f>
        <v/>
      </c>
      <c r="U8" s="14">
        <f>$C8*G8</f>
        <v/>
      </c>
      <c r="V8" s="14">
        <f>$C8*H8</f>
        <v/>
      </c>
      <c r="W8" s="14">
        <f>$C8*I8</f>
        <v/>
      </c>
      <c r="X8" s="14">
        <f>$C8*J8</f>
        <v/>
      </c>
      <c r="Y8" s="14">
        <f>$C8*K8</f>
        <v/>
      </c>
      <c r="Z8" s="14">
        <f>$C8*L8</f>
        <v/>
      </c>
      <c r="AA8" s="14">
        <f>$C8*M8</f>
        <v/>
      </c>
      <c r="AB8" s="14">
        <f>$C8*N8</f>
        <v/>
      </c>
      <c r="AC8" s="14">
        <f>$C8*O8</f>
        <v/>
      </c>
      <c r="AD8" s="14">
        <f>$C8*P8</f>
        <v/>
      </c>
      <c r="AE8" s="14">
        <f>$C8*Q8</f>
        <v/>
      </c>
      <c r="AF8" s="14">
        <f>$C8*R8</f>
        <v/>
      </c>
    </row>
    <row r="9">
      <c r="A9" s="6" t="inlineStr">
        <is>
          <t>Structure des plans (sans la colonnade)</t>
        </is>
      </c>
      <c r="B9" s="6" t="inlineStr">
        <is>
          <t>Plafond triangle métal</t>
        </is>
      </c>
      <c r="C9" s="22" t="n">
        <v>629</v>
      </c>
      <c r="D9" s="6" t="inlineStr">
        <is>
          <t>oui</t>
        </is>
      </c>
      <c r="E9" s="16" t="n">
        <v>18</v>
      </c>
      <c r="F9" s="16" t="n">
        <v>5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4">
        <f>$C9*E9</f>
        <v/>
      </c>
      <c r="T9" s="14">
        <f>$C9*F9</f>
        <v/>
      </c>
      <c r="U9" s="14">
        <f>$C9*G9</f>
        <v/>
      </c>
      <c r="V9" s="14">
        <f>$C9*H9</f>
        <v/>
      </c>
      <c r="W9" s="14">
        <f>$C9*I9</f>
        <v/>
      </c>
      <c r="X9" s="14">
        <f>$C9*J9</f>
        <v/>
      </c>
      <c r="Y9" s="14">
        <f>$C9*K9</f>
        <v/>
      </c>
      <c r="Z9" s="14">
        <f>$C9*L9</f>
        <v/>
      </c>
      <c r="AA9" s="14">
        <f>$C9*M9</f>
        <v/>
      </c>
      <c r="AB9" s="14">
        <f>$C9*N9</f>
        <v/>
      </c>
      <c r="AC9" s="14">
        <f>$C9*O9</f>
        <v/>
      </c>
      <c r="AD9" s="14">
        <f>$C9*P9</f>
        <v/>
      </c>
      <c r="AE9" s="14">
        <f>$C9*Q9</f>
        <v/>
      </c>
      <c r="AF9" s="14">
        <f>$C9*R9</f>
        <v/>
      </c>
    </row>
    <row r="10">
      <c r="A10" s="6" t="inlineStr">
        <is>
          <t>Structure des plans (sans la colonnade)</t>
        </is>
      </c>
      <c r="B10" s="6" t="inlineStr">
        <is>
          <t>Mur métal</t>
        </is>
      </c>
      <c r="C10" s="22" t="n">
        <v>489</v>
      </c>
      <c r="D10" s="6" t="inlineStr"/>
      <c r="E10" s="16" t="n">
        <v>25</v>
      </c>
      <c r="F10" s="16" t="n">
        <v>7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4">
        <f>$C10*E10</f>
        <v/>
      </c>
      <c r="T10" s="14">
        <f>$C10*F10</f>
        <v/>
      </c>
      <c r="U10" s="14">
        <f>$C10*G10</f>
        <v/>
      </c>
      <c r="V10" s="14">
        <f>$C10*H10</f>
        <v/>
      </c>
      <c r="W10" s="14">
        <f>$C10*I10</f>
        <v/>
      </c>
      <c r="X10" s="14">
        <f>$C10*J10</f>
        <v/>
      </c>
      <c r="Y10" s="14">
        <f>$C10*K10</f>
        <v/>
      </c>
      <c r="Z10" s="14">
        <f>$C10*L10</f>
        <v/>
      </c>
      <c r="AA10" s="14">
        <f>$C10*M10</f>
        <v/>
      </c>
      <c r="AB10" s="14">
        <f>$C10*N10</f>
        <v/>
      </c>
      <c r="AC10" s="14">
        <f>$C10*O10</f>
        <v/>
      </c>
      <c r="AD10" s="14">
        <f>$C10*P10</f>
        <v/>
      </c>
      <c r="AE10" s="14">
        <f>$C10*Q10</f>
        <v/>
      </c>
      <c r="AF10" s="14">
        <f>$C10*R10</f>
        <v/>
      </c>
    </row>
    <row r="11">
      <c r="A11" s="6" t="inlineStr">
        <is>
          <t>Structure des plans (sans la colonnade)</t>
        </is>
      </c>
      <c r="B11" s="6" t="inlineStr">
        <is>
          <t>Fondation métal</t>
        </is>
      </c>
      <c r="C11" s="22" t="n">
        <v>344</v>
      </c>
      <c r="D11" s="6" t="inlineStr"/>
      <c r="E11" s="16" t="n">
        <v>50</v>
      </c>
      <c r="F11" s="16" t="n">
        <v>15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4">
        <f>$C11*E11</f>
        <v/>
      </c>
      <c r="T11" s="14">
        <f>$C11*F11</f>
        <v/>
      </c>
      <c r="U11" s="14">
        <f>$C11*G11</f>
        <v/>
      </c>
      <c r="V11" s="14">
        <f>$C11*H11</f>
        <v/>
      </c>
      <c r="W11" s="14">
        <f>$C11*I11</f>
        <v/>
      </c>
      <c r="X11" s="14">
        <f>$C11*J11</f>
        <v/>
      </c>
      <c r="Y11" s="14">
        <f>$C11*K11</f>
        <v/>
      </c>
      <c r="Z11" s="14">
        <f>$C11*L11</f>
        <v/>
      </c>
      <c r="AA11" s="14">
        <f>$C11*M11</f>
        <v/>
      </c>
      <c r="AB11" s="14">
        <f>$C11*N11</f>
        <v/>
      </c>
      <c r="AC11" s="14">
        <f>$C11*O11</f>
        <v/>
      </c>
      <c r="AD11" s="14">
        <f>$C11*P11</f>
        <v/>
      </c>
      <c r="AE11" s="14">
        <f>$C11*Q11</f>
        <v/>
      </c>
      <c r="AF11" s="14">
        <f>$C11*R11</f>
        <v/>
      </c>
    </row>
    <row r="12">
      <c r="A12" s="6" t="inlineStr">
        <is>
          <t>Structure des plans (sans la colonnade)</t>
        </is>
      </c>
      <c r="B12" s="6" t="inlineStr">
        <is>
          <t>Plafond métal</t>
        </is>
      </c>
      <c r="C12" s="22" t="n">
        <v>307</v>
      </c>
      <c r="D12" s="6" t="inlineStr"/>
      <c r="E12" s="16" t="n">
        <v>35</v>
      </c>
      <c r="F12" s="16" t="n">
        <v>10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6" t="n">
        <v>0</v>
      </c>
      <c r="S12" s="14">
        <f>$C12*E12</f>
        <v/>
      </c>
      <c r="T12" s="14">
        <f>$C12*F12</f>
        <v/>
      </c>
      <c r="U12" s="14">
        <f>$C12*G12</f>
        <v/>
      </c>
      <c r="V12" s="14">
        <f>$C12*H12</f>
        <v/>
      </c>
      <c r="W12" s="14">
        <f>$C12*I12</f>
        <v/>
      </c>
      <c r="X12" s="14">
        <f>$C12*J12</f>
        <v/>
      </c>
      <c r="Y12" s="14">
        <f>$C12*K12</f>
        <v/>
      </c>
      <c r="Z12" s="14">
        <f>$C12*L12</f>
        <v/>
      </c>
      <c r="AA12" s="14">
        <f>$C12*M12</f>
        <v/>
      </c>
      <c r="AB12" s="14">
        <f>$C12*N12</f>
        <v/>
      </c>
      <c r="AC12" s="14">
        <f>$C12*O12</f>
        <v/>
      </c>
      <c r="AD12" s="14">
        <f>$C12*P12</f>
        <v/>
      </c>
      <c r="AE12" s="14">
        <f>$C12*Q12</f>
        <v/>
      </c>
      <c r="AF12" s="14">
        <f>$C12*R12</f>
        <v/>
      </c>
    </row>
    <row r="13">
      <c r="A13" s="6" t="inlineStr">
        <is>
          <t>Structure des plans (sans la colonnade)</t>
        </is>
      </c>
      <c r="B13" s="6" t="inlineStr">
        <is>
          <t>Pilier métal</t>
        </is>
      </c>
      <c r="C13" s="22" t="n">
        <v>240</v>
      </c>
      <c r="D13" s="6" t="inlineStr"/>
      <c r="E13" s="16" t="n">
        <v>25</v>
      </c>
      <c r="F13" s="16" t="n">
        <v>7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14">
        <f>$C13*E13</f>
        <v/>
      </c>
      <c r="T13" s="14">
        <f>$C13*F13</f>
        <v/>
      </c>
      <c r="U13" s="14">
        <f>$C13*G13</f>
        <v/>
      </c>
      <c r="V13" s="14">
        <f>$C13*H13</f>
        <v/>
      </c>
      <c r="W13" s="14">
        <f>$C13*I13</f>
        <v/>
      </c>
      <c r="X13" s="14">
        <f>$C13*J13</f>
        <v/>
      </c>
      <c r="Y13" s="14">
        <f>$C13*K13</f>
        <v/>
      </c>
      <c r="Z13" s="14">
        <f>$C13*L13</f>
        <v/>
      </c>
      <c r="AA13" s="14">
        <f>$C13*M13</f>
        <v/>
      </c>
      <c r="AB13" s="14">
        <f>$C13*N13</f>
        <v/>
      </c>
      <c r="AC13" s="14">
        <f>$C13*O13</f>
        <v/>
      </c>
      <c r="AD13" s="14">
        <f>$C13*P13</f>
        <v/>
      </c>
      <c r="AE13" s="14">
        <f>$C13*Q13</f>
        <v/>
      </c>
      <c r="AF13" s="14">
        <f>$C13*R13</f>
        <v/>
      </c>
    </row>
    <row r="14">
      <c r="A14" s="6" t="inlineStr">
        <is>
          <t>Structure des plans (sans la colonnade)</t>
        </is>
      </c>
      <c r="B14" s="6" t="inlineStr">
        <is>
          <t>Pilier fin couché métal (Flat Thin Pillar)</t>
        </is>
      </c>
      <c r="C14" s="22" t="n">
        <v>94</v>
      </c>
      <c r="D14" s="6" t="inlineStr">
        <is>
          <t>oui</t>
        </is>
      </c>
      <c r="E14" s="16" t="n">
        <v>13</v>
      </c>
      <c r="F14" s="16" t="n">
        <v>4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4">
        <f>$C14*E14</f>
        <v/>
      </c>
      <c r="T14" s="14">
        <f>$C14*F14</f>
        <v/>
      </c>
      <c r="U14" s="14">
        <f>$C14*G14</f>
        <v/>
      </c>
      <c r="V14" s="14">
        <f>$C14*H14</f>
        <v/>
      </c>
      <c r="W14" s="14">
        <f>$C14*I14</f>
        <v/>
      </c>
      <c r="X14" s="14">
        <f>$C14*J14</f>
        <v/>
      </c>
      <c r="Y14" s="14">
        <f>$C14*K14</f>
        <v/>
      </c>
      <c r="Z14" s="14">
        <f>$C14*L14</f>
        <v/>
      </c>
      <c r="AA14" s="14">
        <f>$C14*M14</f>
        <v/>
      </c>
      <c r="AB14" s="14">
        <f>$C14*N14</f>
        <v/>
      </c>
      <c r="AC14" s="14">
        <f>$C14*O14</f>
        <v/>
      </c>
      <c r="AD14" s="14">
        <f>$C14*P14</f>
        <v/>
      </c>
      <c r="AE14" s="14">
        <f>$C14*Q14</f>
        <v/>
      </c>
      <c r="AF14" s="14">
        <f>$C14*R14</f>
        <v/>
      </c>
    </row>
    <row r="15">
      <c r="A15" s="6" t="inlineStr">
        <is>
          <t>Structure des plans (sans la colonnade)</t>
        </is>
      </c>
      <c r="B15" s="6" t="inlineStr">
        <is>
          <t>Demi-pilier fin métal (Half Thin Pillar)</t>
        </is>
      </c>
      <c r="C15" s="22" t="n">
        <v>43</v>
      </c>
      <c r="D15" s="6" t="inlineStr">
        <is>
          <t>oui</t>
        </is>
      </c>
      <c r="E15" s="16" t="n">
        <v>7</v>
      </c>
      <c r="F15" s="16" t="n">
        <v>2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4">
        <f>$C15*E15</f>
        <v/>
      </c>
      <c r="T15" s="14">
        <f>$C15*F15</f>
        <v/>
      </c>
      <c r="U15" s="14">
        <f>$C15*G15</f>
        <v/>
      </c>
      <c r="V15" s="14">
        <f>$C15*H15</f>
        <v/>
      </c>
      <c r="W15" s="14">
        <f>$C15*I15</f>
        <v/>
      </c>
      <c r="X15" s="14">
        <f>$C15*J15</f>
        <v/>
      </c>
      <c r="Y15" s="14">
        <f>$C15*K15</f>
        <v/>
      </c>
      <c r="Z15" s="14">
        <f>$C15*L15</f>
        <v/>
      </c>
      <c r="AA15" s="14">
        <f>$C15*M15</f>
        <v/>
      </c>
      <c r="AB15" s="14">
        <f>$C15*N15</f>
        <v/>
      </c>
      <c r="AC15" s="14">
        <f>$C15*O15</f>
        <v/>
      </c>
      <c r="AD15" s="14">
        <f>$C15*P15</f>
        <v/>
      </c>
      <c r="AE15" s="14">
        <f>$C15*Q15</f>
        <v/>
      </c>
      <c r="AF15" s="14">
        <f>$C15*R15</f>
        <v/>
      </c>
    </row>
    <row r="16">
      <c r="A16" s="6" t="inlineStr">
        <is>
          <t>Structure des plans (sans la colonnade)</t>
        </is>
      </c>
      <c r="B16" s="6" t="inlineStr">
        <is>
          <t>Escalier métal</t>
        </is>
      </c>
      <c r="C16" s="22" t="n">
        <v>6</v>
      </c>
      <c r="D16" s="6" t="inlineStr">
        <is>
          <t>oui</t>
        </is>
      </c>
      <c r="E16" s="16" t="n">
        <v>50</v>
      </c>
      <c r="F16" s="16" t="n">
        <v>15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6" t="n">
        <v>0</v>
      </c>
      <c r="S16" s="14">
        <f>$C16*E16</f>
        <v/>
      </c>
      <c r="T16" s="14">
        <f>$C16*F16</f>
        <v/>
      </c>
      <c r="U16" s="14">
        <f>$C16*G16</f>
        <v/>
      </c>
      <c r="V16" s="14">
        <f>$C16*H16</f>
        <v/>
      </c>
      <c r="W16" s="14">
        <f>$C16*I16</f>
        <v/>
      </c>
      <c r="X16" s="14">
        <f>$C16*J16</f>
        <v/>
      </c>
      <c r="Y16" s="14">
        <f>$C16*K16</f>
        <v/>
      </c>
      <c r="Z16" s="14">
        <f>$C16*L16</f>
        <v/>
      </c>
      <c r="AA16" s="14">
        <f>$C16*M16</f>
        <v/>
      </c>
      <c r="AB16" s="14">
        <f>$C16*N16</f>
        <v/>
      </c>
      <c r="AC16" s="14">
        <f>$C16*O16</f>
        <v/>
      </c>
      <c r="AD16" s="14">
        <f>$C16*P16</f>
        <v/>
      </c>
      <c r="AE16" s="14">
        <f>$C16*Q16</f>
        <v/>
      </c>
      <c r="AF16" s="14">
        <f>$C16*R16</f>
        <v/>
      </c>
    </row>
    <row r="17">
      <c r="A17" s="6" t="inlineStr">
        <is>
          <t>Structure des plans (sans la colonnade)</t>
        </is>
      </c>
      <c r="B17" s="6" t="inlineStr">
        <is>
          <t>Plafond à trappe métal</t>
        </is>
      </c>
      <c r="C17" s="22" t="n">
        <v>6</v>
      </c>
      <c r="D17" s="6" t="inlineStr">
        <is>
          <t>oui</t>
        </is>
      </c>
      <c r="E17" s="16" t="n">
        <v>35</v>
      </c>
      <c r="F17" s="16" t="n">
        <v>10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0</v>
      </c>
      <c r="R17" s="16" t="n">
        <v>0</v>
      </c>
      <c r="S17" s="14">
        <f>$C17*E17</f>
        <v/>
      </c>
      <c r="T17" s="14">
        <f>$C17*F17</f>
        <v/>
      </c>
      <c r="U17" s="14">
        <f>$C17*G17</f>
        <v/>
      </c>
      <c r="V17" s="14">
        <f>$C17*H17</f>
        <v/>
      </c>
      <c r="W17" s="14">
        <f>$C17*I17</f>
        <v/>
      </c>
      <c r="X17" s="14">
        <f>$C17*J17</f>
        <v/>
      </c>
      <c r="Y17" s="14">
        <f>$C17*K17</f>
        <v/>
      </c>
      <c r="Z17" s="14">
        <f>$C17*L17</f>
        <v/>
      </c>
      <c r="AA17" s="14">
        <f>$C17*M17</f>
        <v/>
      </c>
      <c r="AB17" s="14">
        <f>$C17*N17</f>
        <v/>
      </c>
      <c r="AC17" s="14">
        <f>$C17*O17</f>
        <v/>
      </c>
      <c r="AD17" s="14">
        <f>$C17*P17</f>
        <v/>
      </c>
      <c r="AE17" s="14">
        <f>$C17*Q17</f>
        <v/>
      </c>
      <c r="AF17" s="14">
        <f>$C17*R17</f>
        <v/>
      </c>
    </row>
    <row r="18">
      <c r="A18" s="6" t="inlineStr">
        <is>
          <t>Carrés de culture (Plant X)</t>
        </is>
      </c>
      <c r="B18" s="6" t="inlineStr">
        <is>
          <t>Grand carré de culture (Plant Species X)</t>
        </is>
      </c>
      <c r="C18" s="22" t="n">
        <v>15</v>
      </c>
      <c r="D18" s="6" t="inlineStr">
        <is>
          <t>oui</t>
        </is>
      </c>
      <c r="E18" s="16" t="n">
        <v>0</v>
      </c>
      <c r="F18" s="16" t="n">
        <v>0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40</v>
      </c>
      <c r="P18" s="16" t="n">
        <v>50</v>
      </c>
      <c r="Q18" s="16" t="n">
        <v>40</v>
      </c>
      <c r="R18" s="16" t="n">
        <v>100</v>
      </c>
      <c r="S18" s="14">
        <f>$C18*E18</f>
        <v/>
      </c>
      <c r="T18" s="14">
        <f>$C18*F18</f>
        <v/>
      </c>
      <c r="U18" s="14">
        <f>$C18*G18</f>
        <v/>
      </c>
      <c r="V18" s="14">
        <f>$C18*H18</f>
        <v/>
      </c>
      <c r="W18" s="14">
        <f>$C18*I18</f>
        <v/>
      </c>
      <c r="X18" s="14">
        <f>$C18*J18</f>
        <v/>
      </c>
      <c r="Y18" s="14">
        <f>$C18*K18</f>
        <v/>
      </c>
      <c r="Z18" s="14">
        <f>$C18*L18</f>
        <v/>
      </c>
      <c r="AA18" s="14">
        <f>$C18*M18</f>
        <v/>
      </c>
      <c r="AB18" s="14">
        <f>$C18*N18</f>
        <v/>
      </c>
      <c r="AC18" s="14">
        <f>$C18*O18</f>
        <v/>
      </c>
      <c r="AD18" s="14">
        <f>$C18*P18</f>
        <v/>
      </c>
      <c r="AE18" s="14">
        <f>$C18*Q18</f>
        <v/>
      </c>
      <c r="AF18" s="14">
        <f>$C18*R18</f>
        <v/>
      </c>
    </row>
    <row r="19">
      <c r="A19" s="6" t="inlineStr">
        <is>
          <t>Ancres temporaires (démolies)</t>
        </is>
      </c>
      <c r="B19" s="6" t="inlineStr">
        <is>
          <t>Demi-pilier métal (ancre)</t>
        </is>
      </c>
      <c r="C19" s="22" t="n">
        <v>8</v>
      </c>
      <c r="D19" s="6" t="inlineStr">
        <is>
          <t>oui</t>
        </is>
      </c>
      <c r="E19" s="16" t="n">
        <v>13</v>
      </c>
      <c r="F19" s="16" t="n">
        <v>4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0</v>
      </c>
      <c r="O19" s="16" t="n">
        <v>0</v>
      </c>
      <c r="P19" s="16" t="n">
        <v>0</v>
      </c>
      <c r="Q19" s="16" t="n">
        <v>0</v>
      </c>
      <c r="R19" s="16" t="n">
        <v>0</v>
      </c>
      <c r="S19" s="14">
        <f>$C19*E19</f>
        <v/>
      </c>
      <c r="T19" s="14">
        <f>$C19*F19</f>
        <v/>
      </c>
      <c r="U19" s="14">
        <f>$C19*G19</f>
        <v/>
      </c>
      <c r="V19" s="14">
        <f>$C19*H19</f>
        <v/>
      </c>
      <c r="W19" s="14">
        <f>$C19*I19</f>
        <v/>
      </c>
      <c r="X19" s="14">
        <f>$C19*J19</f>
        <v/>
      </c>
      <c r="Y19" s="14">
        <f>$C19*K19</f>
        <v/>
      </c>
      <c r="Z19" s="14">
        <f>$C19*L19</f>
        <v/>
      </c>
      <c r="AA19" s="14">
        <f>$C19*M19</f>
        <v/>
      </c>
      <c r="AB19" s="14">
        <f>$C19*N19</f>
        <v/>
      </c>
      <c r="AC19" s="14">
        <f>$C19*O19</f>
        <v/>
      </c>
      <c r="AD19" s="14">
        <f>$C19*P19</f>
        <v/>
      </c>
      <c r="AE19" s="14">
        <f>$C19*Q19</f>
        <v/>
      </c>
      <c r="AF19" s="14">
        <f>$C19*R19</f>
        <v/>
      </c>
    </row>
    <row r="20">
      <c r="A20" s="6" t="inlineStr">
        <is>
          <t>Murs de pics</t>
        </is>
      </c>
      <c r="B20" s="6" t="inlineStr">
        <is>
          <t>Mur de pics métal</t>
        </is>
      </c>
      <c r="C20" s="22" t="n">
        <v>74</v>
      </c>
      <c r="D20" s="6" t="inlineStr"/>
      <c r="E20" s="16" t="n">
        <v>25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20</v>
      </c>
      <c r="O20" s="16" t="n">
        <v>30</v>
      </c>
      <c r="P20" s="16" t="n">
        <v>0</v>
      </c>
      <c r="Q20" s="16" t="n">
        <v>0</v>
      </c>
      <c r="R20" s="16" t="n">
        <v>0</v>
      </c>
      <c r="S20" s="14">
        <f>$C20*E20</f>
        <v/>
      </c>
      <c r="T20" s="14">
        <f>$C20*F20</f>
        <v/>
      </c>
      <c r="U20" s="14">
        <f>$C20*G20</f>
        <v/>
      </c>
      <c r="V20" s="14">
        <f>$C20*H20</f>
        <v/>
      </c>
      <c r="W20" s="14">
        <f>$C20*I20</f>
        <v/>
      </c>
      <c r="X20" s="14">
        <f>$C20*J20</f>
        <v/>
      </c>
      <c r="Y20" s="14">
        <f>$C20*K20</f>
        <v/>
      </c>
      <c r="Z20" s="14">
        <f>$C20*L20</f>
        <v/>
      </c>
      <c r="AA20" s="14">
        <f>$C20*M20</f>
        <v/>
      </c>
      <c r="AB20" s="14">
        <f>$C20*N20</f>
        <v/>
      </c>
      <c r="AC20" s="14">
        <f>$C20*O20</f>
        <v/>
      </c>
      <c r="AD20" s="14">
        <f>$C20*P20</f>
        <v/>
      </c>
      <c r="AE20" s="14">
        <f>$C20*Q20</f>
        <v/>
      </c>
      <c r="AF20" s="14">
        <f>$C20*R20</f>
        <v/>
      </c>
    </row>
    <row r="21">
      <c r="A21" s="6" t="inlineStr">
        <is>
          <t>Murs de chaume (démolis)</t>
        </is>
      </c>
      <c r="B21" s="6" t="inlineStr">
        <is>
          <t>Mur de chaume (gabarit de pose, à démolir)</t>
        </is>
      </c>
      <c r="C21" s="22" t="n">
        <v>79</v>
      </c>
      <c r="D21" s="6" t="inlineStr">
        <is>
          <t>oui</t>
        </is>
      </c>
      <c r="E21" s="16" t="n">
        <v>0</v>
      </c>
      <c r="F21" s="16" t="n">
        <v>0</v>
      </c>
      <c r="G21" s="16" t="n">
        <v>0</v>
      </c>
      <c r="H21" s="16" t="n">
        <v>0</v>
      </c>
      <c r="I21" s="16" t="n">
        <v>0</v>
      </c>
      <c r="J21" s="16" t="n">
        <v>0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4</v>
      </c>
      <c r="P21" s="16" t="n">
        <v>7</v>
      </c>
      <c r="Q21" s="16" t="n">
        <v>4</v>
      </c>
      <c r="R21" s="16" t="n">
        <v>0</v>
      </c>
      <c r="S21" s="14">
        <f>$C21*E21</f>
        <v/>
      </c>
      <c r="T21" s="14">
        <f>$C21*F21</f>
        <v/>
      </c>
      <c r="U21" s="14">
        <f>$C21*G21</f>
        <v/>
      </c>
      <c r="V21" s="14">
        <f>$C21*H21</f>
        <v/>
      </c>
      <c r="W21" s="14">
        <f>$C21*I21</f>
        <v/>
      </c>
      <c r="X21" s="14">
        <f>$C21*J21</f>
        <v/>
      </c>
      <c r="Y21" s="14">
        <f>$C21*K21</f>
        <v/>
      </c>
      <c r="Z21" s="14">
        <f>$C21*L21</f>
        <v/>
      </c>
      <c r="AA21" s="14">
        <f>$C21*M21</f>
        <v/>
      </c>
      <c r="AB21" s="14">
        <f>$C21*N21</f>
        <v/>
      </c>
      <c r="AC21" s="14">
        <f>$C21*O21</f>
        <v/>
      </c>
      <c r="AD21" s="14">
        <f>$C21*P21</f>
        <v/>
      </c>
      <c r="AE21" s="14">
        <f>$C21*Q21</f>
        <v/>
      </c>
      <c r="AF21" s="14">
        <f>$C21*R21</f>
        <v/>
      </c>
    </row>
    <row r="22">
      <c r="A22" s="6" t="inlineStr">
        <is>
          <t>Équipements</t>
        </is>
      </c>
      <c r="B22" s="6" t="inlineStr">
        <is>
          <t>Stockage dédié Tek (Tek Dedicated Storage)</t>
        </is>
      </c>
      <c r="C22" s="22" t="n">
        <v>20</v>
      </c>
      <c r="D22" s="6" t="inlineStr"/>
      <c r="E22" s="16" t="n">
        <v>125</v>
      </c>
      <c r="F22" s="16" t="n">
        <v>0</v>
      </c>
      <c r="G22" s="16" t="n">
        <v>0</v>
      </c>
      <c r="H22" s="16" t="n">
        <v>55</v>
      </c>
      <c r="I22" s="16" t="n">
        <v>75</v>
      </c>
      <c r="J22" s="16" t="n">
        <v>3</v>
      </c>
      <c r="K22" s="16" t="n">
        <v>4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6" t="n">
        <v>0</v>
      </c>
      <c r="S22" s="14">
        <f>$C22*E22</f>
        <v/>
      </c>
      <c r="T22" s="14">
        <f>$C22*F22</f>
        <v/>
      </c>
      <c r="U22" s="14">
        <f>$C22*G22</f>
        <v/>
      </c>
      <c r="V22" s="14">
        <f>$C22*H22</f>
        <v/>
      </c>
      <c r="W22" s="14">
        <f>$C22*I22</f>
        <v/>
      </c>
      <c r="X22" s="14">
        <f>$C22*J22</f>
        <v/>
      </c>
      <c r="Y22" s="14">
        <f>$C22*K22</f>
        <v/>
      </c>
      <c r="Z22" s="14">
        <f>$C22*L22</f>
        <v/>
      </c>
      <c r="AA22" s="14">
        <f>$C22*M22</f>
        <v/>
      </c>
      <c r="AB22" s="14">
        <f>$C22*N22</f>
        <v/>
      </c>
      <c r="AC22" s="14">
        <f>$C22*O22</f>
        <v/>
      </c>
      <c r="AD22" s="14">
        <f>$C22*P22</f>
        <v/>
      </c>
      <c r="AE22" s="14">
        <f>$C22*Q22</f>
        <v/>
      </c>
      <c r="AF22" s="14">
        <f>$C22*R22</f>
        <v/>
      </c>
    </row>
    <row r="23">
      <c r="A23" s="6" t="inlineStr">
        <is>
          <t>Équipements</t>
        </is>
      </c>
      <c r="B23" s="6" t="inlineStr">
        <is>
          <t>Coffre-fort (Vault)</t>
        </is>
      </c>
      <c r="C23" s="22" t="n">
        <v>20</v>
      </c>
      <c r="D23" s="6" t="inlineStr">
        <is>
          <t>oui</t>
        </is>
      </c>
      <c r="E23" s="16" t="n">
        <v>500</v>
      </c>
      <c r="F23" s="16" t="n">
        <v>100</v>
      </c>
      <c r="G23" s="16" t="n">
        <v>0</v>
      </c>
      <c r="H23" s="16" t="n">
        <v>90</v>
      </c>
      <c r="I23" s="16" t="n">
        <v>0</v>
      </c>
      <c r="J23" s="16" t="n">
        <v>0</v>
      </c>
      <c r="K23" s="16" t="n">
        <v>0</v>
      </c>
      <c r="L23" s="16" t="n">
        <v>70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6" t="n">
        <v>0</v>
      </c>
      <c r="S23" s="14">
        <f>$C23*E23</f>
        <v/>
      </c>
      <c r="T23" s="14">
        <f>$C23*F23</f>
        <v/>
      </c>
      <c r="U23" s="14">
        <f>$C23*G23</f>
        <v/>
      </c>
      <c r="V23" s="14">
        <f>$C23*H23</f>
        <v/>
      </c>
      <c r="W23" s="14">
        <f>$C23*I23</f>
        <v/>
      </c>
      <c r="X23" s="14">
        <f>$C23*J23</f>
        <v/>
      </c>
      <c r="Y23" s="14">
        <f>$C23*K23</f>
        <v/>
      </c>
      <c r="Z23" s="14">
        <f>$C23*L23</f>
        <v/>
      </c>
      <c r="AA23" s="14">
        <f>$C23*M23</f>
        <v/>
      </c>
      <c r="AB23" s="14">
        <f>$C23*N23</f>
        <v/>
      </c>
      <c r="AC23" s="14">
        <f>$C23*O23</f>
        <v/>
      </c>
      <c r="AD23" s="14">
        <f>$C23*P23</f>
        <v/>
      </c>
      <c r="AE23" s="14">
        <f>$C23*Q23</f>
        <v/>
      </c>
      <c r="AF23" s="14">
        <f>$C23*R23</f>
        <v/>
      </c>
    </row>
    <row r="24">
      <c r="A24" s="6" t="inlineStr">
        <is>
          <t>Équipements</t>
        </is>
      </c>
      <c r="B24" s="6" t="inlineStr">
        <is>
          <t>Générateur Tek</t>
        </is>
      </c>
      <c r="C24" s="22" t="n">
        <v>2</v>
      </c>
      <c r="D24" s="6" t="inlineStr"/>
      <c r="E24" s="16" t="n">
        <v>2400</v>
      </c>
      <c r="F24" s="16" t="n">
        <v>0</v>
      </c>
      <c r="G24" s="16" t="n">
        <v>0</v>
      </c>
      <c r="H24" s="16" t="n">
        <v>500</v>
      </c>
      <c r="I24" s="16" t="n">
        <v>250</v>
      </c>
      <c r="J24" s="16" t="n">
        <v>30</v>
      </c>
      <c r="K24" s="16" t="n">
        <v>120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6" t="n">
        <v>0</v>
      </c>
      <c r="S24" s="14">
        <f>$C24*E24</f>
        <v/>
      </c>
      <c r="T24" s="14">
        <f>$C24*F24</f>
        <v/>
      </c>
      <c r="U24" s="14">
        <f>$C24*G24</f>
        <v/>
      </c>
      <c r="V24" s="14">
        <f>$C24*H24</f>
        <v/>
      </c>
      <c r="W24" s="14">
        <f>$C24*I24</f>
        <v/>
      </c>
      <c r="X24" s="14">
        <f>$C24*J24</f>
        <v/>
      </c>
      <c r="Y24" s="14">
        <f>$C24*K24</f>
        <v/>
      </c>
      <c r="Z24" s="14">
        <f>$C24*L24</f>
        <v/>
      </c>
      <c r="AA24" s="14">
        <f>$C24*M24</f>
        <v/>
      </c>
      <c r="AB24" s="14">
        <f>$C24*N24</f>
        <v/>
      </c>
      <c r="AC24" s="14">
        <f>$C24*O24</f>
        <v/>
      </c>
      <c r="AD24" s="14">
        <f>$C24*P24</f>
        <v/>
      </c>
      <c r="AE24" s="14">
        <f>$C24*Q24</f>
        <v/>
      </c>
      <c r="AF24" s="14">
        <f>$C24*R24</f>
        <v/>
      </c>
    </row>
    <row r="25">
      <c r="A25" s="6" t="inlineStr">
        <is>
          <t>Équipements</t>
        </is>
      </c>
      <c r="B25" s="6" t="inlineStr">
        <is>
          <t>Réplicateur Tek</t>
        </is>
      </c>
      <c r="C25" s="22" t="n">
        <v>1</v>
      </c>
      <c r="D25" s="6" t="inlineStr"/>
      <c r="E25" s="16" t="n">
        <v>5000</v>
      </c>
      <c r="F25" s="16" t="n">
        <v>0</v>
      </c>
      <c r="G25" s="16" t="n">
        <v>0</v>
      </c>
      <c r="H25" s="16" t="n">
        <v>800</v>
      </c>
      <c r="I25" s="16" t="n">
        <v>600</v>
      </c>
      <c r="J25" s="16" t="n">
        <v>100</v>
      </c>
      <c r="K25" s="16" t="n">
        <v>150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6" t="n">
        <v>0</v>
      </c>
      <c r="S25" s="14">
        <f>$C25*E25</f>
        <v/>
      </c>
      <c r="T25" s="14">
        <f>$C25*F25</f>
        <v/>
      </c>
      <c r="U25" s="14">
        <f>$C25*G25</f>
        <v/>
      </c>
      <c r="V25" s="14">
        <f>$C25*H25</f>
        <v/>
      </c>
      <c r="W25" s="14">
        <f>$C25*I25</f>
        <v/>
      </c>
      <c r="X25" s="14">
        <f>$C25*J25</f>
        <v/>
      </c>
      <c r="Y25" s="14">
        <f>$C25*K25</f>
        <v/>
      </c>
      <c r="Z25" s="14">
        <f>$C25*L25</f>
        <v/>
      </c>
      <c r="AA25" s="14">
        <f>$C25*M25</f>
        <v/>
      </c>
      <c r="AB25" s="14">
        <f>$C25*N25</f>
        <v/>
      </c>
      <c r="AC25" s="14">
        <f>$C25*O25</f>
        <v/>
      </c>
      <c r="AD25" s="14">
        <f>$C25*P25</f>
        <v/>
      </c>
      <c r="AE25" s="14">
        <f>$C25*Q25</f>
        <v/>
      </c>
      <c r="AF25" s="14">
        <f>$C25*R25</f>
        <v/>
      </c>
    </row>
    <row r="26">
      <c r="A26" s="6" t="inlineStr">
        <is>
          <t>Équipements</t>
        </is>
      </c>
      <c r="B26" s="6" t="inlineStr">
        <is>
          <t>Forge à vapeur (Steam Forge)</t>
        </is>
      </c>
      <c r="C26" s="22" t="n">
        <v>1</v>
      </c>
      <c r="D26" s="6" t="inlineStr"/>
      <c r="E26" s="16" t="n">
        <v>3250</v>
      </c>
      <c r="F26" s="16" t="n">
        <v>600</v>
      </c>
      <c r="G26" s="16" t="n">
        <v>200</v>
      </c>
      <c r="H26" s="16" t="n">
        <v>1000</v>
      </c>
      <c r="I26" s="16" t="n">
        <v>500</v>
      </c>
      <c r="J26" s="16" t="n">
        <v>0</v>
      </c>
      <c r="K26" s="16" t="n">
        <v>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0</v>
      </c>
      <c r="Q26" s="16" t="n">
        <v>0</v>
      </c>
      <c r="R26" s="16" t="n">
        <v>0</v>
      </c>
      <c r="S26" s="14">
        <f>$C26*E26</f>
        <v/>
      </c>
      <c r="T26" s="14">
        <f>$C26*F26</f>
        <v/>
      </c>
      <c r="U26" s="14">
        <f>$C26*G26</f>
        <v/>
      </c>
      <c r="V26" s="14">
        <f>$C26*H26</f>
        <v/>
      </c>
      <c r="W26" s="14">
        <f>$C26*I26</f>
        <v/>
      </c>
      <c r="X26" s="14">
        <f>$C26*J26</f>
        <v/>
      </c>
      <c r="Y26" s="14">
        <f>$C26*K26</f>
        <v/>
      </c>
      <c r="Z26" s="14">
        <f>$C26*L26</f>
        <v/>
      </c>
      <c r="AA26" s="14">
        <f>$C26*M26</f>
        <v/>
      </c>
      <c r="AB26" s="14">
        <f>$C26*N26</f>
        <v/>
      </c>
      <c r="AC26" s="14">
        <f>$C26*O26</f>
        <v/>
      </c>
      <c r="AD26" s="14">
        <f>$C26*P26</f>
        <v/>
      </c>
      <c r="AE26" s="14">
        <f>$C26*Q26</f>
        <v/>
      </c>
      <c r="AF26" s="14">
        <f>$C26*R26</f>
        <v/>
      </c>
    </row>
    <row r="27">
      <c r="A27" s="6" t="inlineStr">
        <is>
          <t>Équipements</t>
        </is>
      </c>
      <c r="B27" s="6" t="inlineStr">
        <is>
          <t>Labo de fortune (Makeshift Megalab)</t>
        </is>
      </c>
      <c r="C27" s="22" t="n">
        <v>1</v>
      </c>
      <c r="D27" s="6" t="inlineStr"/>
      <c r="E27" s="16" t="n">
        <v>450</v>
      </c>
      <c r="F27" s="16" t="n">
        <v>300</v>
      </c>
      <c r="G27" s="16" t="n">
        <v>20</v>
      </c>
      <c r="H27" s="16" t="n">
        <v>150</v>
      </c>
      <c r="I27" s="16" t="n">
        <v>250</v>
      </c>
      <c r="J27" s="16" t="n">
        <v>0</v>
      </c>
      <c r="K27" s="16" t="n">
        <v>0</v>
      </c>
      <c r="L27" s="16" t="n">
        <v>0</v>
      </c>
      <c r="M27" s="16" t="n">
        <v>100</v>
      </c>
      <c r="N27" s="16" t="n">
        <v>0</v>
      </c>
      <c r="O27" s="16" t="n">
        <v>0</v>
      </c>
      <c r="P27" s="16" t="n">
        <v>0</v>
      </c>
      <c r="Q27" s="16" t="n">
        <v>0</v>
      </c>
      <c r="R27" s="16" t="n">
        <v>0</v>
      </c>
      <c r="S27" s="14">
        <f>$C27*E27</f>
        <v/>
      </c>
      <c r="T27" s="14">
        <f>$C27*F27</f>
        <v/>
      </c>
      <c r="U27" s="14">
        <f>$C27*G27</f>
        <v/>
      </c>
      <c r="V27" s="14">
        <f>$C27*H27</f>
        <v/>
      </c>
      <c r="W27" s="14">
        <f>$C27*I27</f>
        <v/>
      </c>
      <c r="X27" s="14">
        <f>$C27*J27</f>
        <v/>
      </c>
      <c r="Y27" s="14">
        <f>$C27*K27</f>
        <v/>
      </c>
      <c r="Z27" s="14">
        <f>$C27*L27</f>
        <v/>
      </c>
      <c r="AA27" s="14">
        <f>$C27*M27</f>
        <v/>
      </c>
      <c r="AB27" s="14">
        <f>$C27*N27</f>
        <v/>
      </c>
      <c r="AC27" s="14">
        <f>$C27*O27</f>
        <v/>
      </c>
      <c r="AD27" s="14">
        <f>$C27*P27</f>
        <v/>
      </c>
      <c r="AE27" s="14">
        <f>$C27*Q27</f>
        <v/>
      </c>
      <c r="AF27" s="14">
        <f>$C27*R27</f>
        <v/>
      </c>
    </row>
    <row r="28">
      <c r="A28" s="6" t="inlineStr">
        <is>
          <t>Tourelles (déjà en inventaire)</t>
        </is>
      </c>
      <c r="B28" s="6" t="inlineStr">
        <is>
          <t>Tourelle lourde (Heavy)</t>
        </is>
      </c>
      <c r="C28" s="22" t="n">
        <v>52</v>
      </c>
      <c r="D28" s="6" t="inlineStr"/>
      <c r="E28" s="16" t="n">
        <v>540</v>
      </c>
      <c r="F28" s="16" t="n">
        <v>200</v>
      </c>
      <c r="G28" s="16" t="n">
        <v>270</v>
      </c>
      <c r="H28" s="16" t="n">
        <v>70</v>
      </c>
      <c r="I28" s="16" t="n">
        <v>0</v>
      </c>
      <c r="J28" s="16" t="n">
        <v>0</v>
      </c>
      <c r="K28" s="16" t="n">
        <v>0</v>
      </c>
      <c r="L28" s="16" t="n">
        <v>0</v>
      </c>
      <c r="M28" s="16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R28" s="16" t="n">
        <v>0</v>
      </c>
      <c r="S28" s="14">
        <f>$C28*E28</f>
        <v/>
      </c>
      <c r="T28" s="14">
        <f>$C28*F28</f>
        <v/>
      </c>
      <c r="U28" s="14">
        <f>$C28*G28</f>
        <v/>
      </c>
      <c r="V28" s="14">
        <f>$C28*H28</f>
        <v/>
      </c>
      <c r="W28" s="14">
        <f>$C28*I28</f>
        <v/>
      </c>
      <c r="X28" s="14">
        <f>$C28*J28</f>
        <v/>
      </c>
      <c r="Y28" s="14">
        <f>$C28*K28</f>
        <v/>
      </c>
      <c r="Z28" s="14">
        <f>$C28*L28</f>
        <v/>
      </c>
      <c r="AA28" s="14">
        <f>$C28*M28</f>
        <v/>
      </c>
      <c r="AB28" s="14">
        <f>$C28*N28</f>
        <v/>
      </c>
      <c r="AC28" s="14">
        <f>$C28*O28</f>
        <v/>
      </c>
      <c r="AD28" s="14">
        <f>$C28*P28</f>
        <v/>
      </c>
      <c r="AE28" s="14">
        <f>$C28*Q28</f>
        <v/>
      </c>
      <c r="AF28" s="14">
        <f>$C28*R28</f>
        <v/>
      </c>
    </row>
    <row r="29">
      <c r="A29" s="6" t="inlineStr">
        <is>
          <t>Tourelles (déjà en inventaire)</t>
        </is>
      </c>
      <c r="B29" s="6" t="inlineStr">
        <is>
          <t>Tourelle Tek</t>
        </is>
      </c>
      <c r="C29" s="22" t="n">
        <v>23</v>
      </c>
      <c r="D29" s="6" t="inlineStr"/>
      <c r="E29" s="16" t="n">
        <v>100</v>
      </c>
      <c r="F29" s="16" t="n">
        <v>50</v>
      </c>
      <c r="G29" s="16" t="n">
        <v>100</v>
      </c>
      <c r="H29" s="16" t="n">
        <v>50</v>
      </c>
      <c r="I29" s="16" t="n">
        <v>0</v>
      </c>
      <c r="J29" s="16" t="n">
        <v>3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4">
        <f>$C29*E29</f>
        <v/>
      </c>
      <c r="T29" s="14">
        <f>$C29*F29</f>
        <v/>
      </c>
      <c r="U29" s="14">
        <f>$C29*G29</f>
        <v/>
      </c>
      <c r="V29" s="14">
        <f>$C29*H29</f>
        <v/>
      </c>
      <c r="W29" s="14">
        <f>$C29*I29</f>
        <v/>
      </c>
      <c r="X29" s="14">
        <f>$C29*J29</f>
        <v/>
      </c>
      <c r="Y29" s="14">
        <f>$C29*K29</f>
        <v/>
      </c>
      <c r="Z29" s="14">
        <f>$C29*L29</f>
        <v/>
      </c>
      <c r="AA29" s="14">
        <f>$C29*M29</f>
        <v/>
      </c>
      <c r="AB29" s="14">
        <f>$C29*N29</f>
        <v/>
      </c>
      <c r="AC29" s="14">
        <f>$C29*O29</f>
        <v/>
      </c>
      <c r="AD29" s="14">
        <f>$C29*P29</f>
        <v/>
      </c>
      <c r="AE29" s="14">
        <f>$C29*Q29</f>
        <v/>
      </c>
      <c r="AF29" s="14">
        <f>$C29*R29</f>
        <v/>
      </c>
    </row>
    <row r="30">
      <c r="A30" s="6" t="inlineStr">
        <is>
          <t>Tourelles (déjà en inventaire)</t>
        </is>
      </c>
      <c r="B30" s="6" t="inlineStr">
        <is>
          <t>Bobine Tesla</t>
        </is>
      </c>
      <c r="C30" s="22" t="n">
        <v>10</v>
      </c>
      <c r="D30" s="6" t="inlineStr"/>
      <c r="E30" s="16" t="n">
        <v>500</v>
      </c>
      <c r="F30" s="16" t="n">
        <v>0</v>
      </c>
      <c r="G30" s="16" t="n">
        <v>100</v>
      </c>
      <c r="H30" s="16" t="n">
        <v>300</v>
      </c>
      <c r="I30" s="16" t="n">
        <v>200</v>
      </c>
      <c r="J30" s="16" t="n">
        <v>0</v>
      </c>
      <c r="K30" s="16" t="n">
        <v>0</v>
      </c>
      <c r="L30" s="16" t="n">
        <v>0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4">
        <f>$C30*E30</f>
        <v/>
      </c>
      <c r="T30" s="14">
        <f>$C30*F30</f>
        <v/>
      </c>
      <c r="U30" s="14">
        <f>$C30*G30</f>
        <v/>
      </c>
      <c r="V30" s="14">
        <f>$C30*H30</f>
        <v/>
      </c>
      <c r="W30" s="14">
        <f>$C30*I30</f>
        <v/>
      </c>
      <c r="X30" s="14">
        <f>$C30*J30</f>
        <v/>
      </c>
      <c r="Y30" s="14">
        <f>$C30*K30</f>
        <v/>
      </c>
      <c r="Z30" s="14">
        <f>$C30*L30</f>
        <v/>
      </c>
      <c r="AA30" s="14">
        <f>$C30*M30</f>
        <v/>
      </c>
      <c r="AB30" s="14">
        <f>$C30*N30</f>
        <v/>
      </c>
      <c r="AC30" s="14">
        <f>$C30*O30</f>
        <v/>
      </c>
      <c r="AD30" s="14">
        <f>$C30*P30</f>
        <v/>
      </c>
      <c r="AE30" s="14">
        <f>$C30*Q30</f>
        <v/>
      </c>
      <c r="AF30" s="14">
        <f>$C30*R30</f>
        <v/>
      </c>
    </row>
    <row r="31">
      <c r="A31" s="8" t="inlineStr">
        <is>
          <t>Total général (avec tourelles)</t>
        </is>
      </c>
      <c r="B31" s="17" t="n"/>
      <c r="C31" s="8">
        <f>SUM(C5:C30)</f>
        <v/>
      </c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9">
        <f>SUM(S5:S30)</f>
        <v/>
      </c>
      <c r="T31" s="9">
        <f>SUM(T5:T30)</f>
        <v/>
      </c>
      <c r="U31" s="9">
        <f>SUM(U5:U30)</f>
        <v/>
      </c>
      <c r="V31" s="9">
        <f>SUM(V5:V30)</f>
        <v/>
      </c>
      <c r="W31" s="9">
        <f>SUM(W5:W30)</f>
        <v/>
      </c>
      <c r="X31" s="9">
        <f>SUM(X5:X30)</f>
        <v/>
      </c>
      <c r="Y31" s="9">
        <f>SUM(Y5:Y30)</f>
        <v/>
      </c>
      <c r="Z31" s="9">
        <f>SUM(Z5:Z30)</f>
        <v/>
      </c>
      <c r="AA31" s="9">
        <f>SUM(AA5:AA30)</f>
        <v/>
      </c>
      <c r="AB31" s="9">
        <f>SUM(AB5:AB30)</f>
        <v/>
      </c>
      <c r="AC31" s="9">
        <f>SUM(AC5:AC30)</f>
        <v/>
      </c>
      <c r="AD31" s="9">
        <f>SUM(AD5:AD30)</f>
        <v/>
      </c>
      <c r="AE31" s="9">
        <f>SUM(AE5:AE30)</f>
        <v/>
      </c>
      <c r="AF31" s="9">
        <f>SUM(AF5:AF30)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Structure par plan (hors tourelles, carrés de culture et murs de chaume)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Nombre de pièces par plan (bleu) ; coûts unitaires repris de l'onglet Détail (vert). Le plan 2 (colonnade) est une option, hors du total des autres onglets.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Lingots / pièce</t>
        </is>
      </c>
      <c r="B4" s="23">
        <f>INDEX(Détail!$E$5:$E$30,MATCH("Pilier fin métal (Thin Pillar)",Détail!$B$5:$B$30,0))</f>
        <v/>
      </c>
      <c r="C4" s="23">
        <f>INDEX(Détail!$E$5:$E$30,MATCH("Rampe inclinée métal (Sloped Railing)",Détail!$B$5:$B$30,0))</f>
        <v/>
      </c>
      <c r="D4" s="23">
        <f>INDEX(Détail!$E$5:$E$30,MATCH("Cadre de porte double métal",Détail!$B$5:$B$30,0))</f>
        <v/>
      </c>
      <c r="E4" s="23">
        <f>INDEX(Détail!$E$5:$E$30,MATCH("Fondation triangle métal",Détail!$B$5:$B$30,0))</f>
        <v/>
      </c>
      <c r="F4" s="23">
        <f>INDEX(Détail!$E$5:$E$30,MATCH("Plafond triangle métal",Détail!$B$5:$B$30,0))</f>
        <v/>
      </c>
      <c r="G4" s="23">
        <f>INDEX(Détail!$E$5:$E$30,MATCH("Mur métal",Détail!$B$5:$B$30,0))</f>
        <v/>
      </c>
      <c r="H4" s="23">
        <f>INDEX(Détail!$E$5:$E$30,MATCH("Fondation métal",Détail!$B$5:$B$30,0))</f>
        <v/>
      </c>
      <c r="I4" s="23">
        <f>INDEX(Détail!$E$5:$E$30,MATCH("Plafond métal",Détail!$B$5:$B$30,0))</f>
        <v/>
      </c>
      <c r="J4" s="23">
        <f>INDEX(Détail!$E$5:$E$30,MATCH("Pilier métal",Détail!$B$5:$B$30,0))</f>
        <v/>
      </c>
      <c r="K4" s="23">
        <f>INDEX(Détail!$E$5:$E$30,MATCH("Pilier fin couché métal (Flat Thin Pillar)",Détail!$B$5:$B$30,0))</f>
        <v/>
      </c>
      <c r="L4" s="23">
        <f>INDEX(Détail!$E$5:$E$30,MATCH("Demi-pilier fin métal (Half Thin Pillar)",Détail!$B$5:$B$30,0))</f>
        <v/>
      </c>
      <c r="M4" s="23">
        <f>INDEX(Détail!$E$5:$E$30,MATCH("Plafond à trappe métal",Détail!$B$5:$B$30,0))</f>
        <v/>
      </c>
      <c r="N4" s="23">
        <f>INDEX(Détail!$E$5:$E$30,MATCH("Escalier métal",Détail!$B$5:$B$30,0))</f>
        <v/>
      </c>
      <c r="O4" s="2" t="n"/>
      <c r="P4" s="2" t="n"/>
      <c r="Q4" s="2" t="n"/>
    </row>
    <row r="5">
      <c r="A5" s="4" t="inlineStr">
        <is>
          <t>Pâte / pièce</t>
        </is>
      </c>
      <c r="B5" s="23">
        <f>INDEX(Détail!$F$5:$F$30,MATCH("Pilier fin métal (Thin Pillar)",Détail!$B$5:$B$30,0))</f>
        <v/>
      </c>
      <c r="C5" s="23">
        <f>INDEX(Détail!$F$5:$F$30,MATCH("Rampe inclinée métal (Sloped Railing)",Détail!$B$5:$B$30,0))</f>
        <v/>
      </c>
      <c r="D5" s="23">
        <f>INDEX(Détail!$F$5:$F$30,MATCH("Cadre de porte double métal",Détail!$B$5:$B$30,0))</f>
        <v/>
      </c>
      <c r="E5" s="23">
        <f>INDEX(Détail!$F$5:$F$30,MATCH("Fondation triangle métal",Détail!$B$5:$B$30,0))</f>
        <v/>
      </c>
      <c r="F5" s="23">
        <f>INDEX(Détail!$F$5:$F$30,MATCH("Plafond triangle métal",Détail!$B$5:$B$30,0))</f>
        <v/>
      </c>
      <c r="G5" s="23">
        <f>INDEX(Détail!$F$5:$F$30,MATCH("Mur métal",Détail!$B$5:$B$30,0))</f>
        <v/>
      </c>
      <c r="H5" s="23">
        <f>INDEX(Détail!$F$5:$F$30,MATCH("Fondation métal",Détail!$B$5:$B$30,0))</f>
        <v/>
      </c>
      <c r="I5" s="23">
        <f>INDEX(Détail!$F$5:$F$30,MATCH("Plafond métal",Détail!$B$5:$B$30,0))</f>
        <v/>
      </c>
      <c r="J5" s="23">
        <f>INDEX(Détail!$F$5:$F$30,MATCH("Pilier métal",Détail!$B$5:$B$30,0))</f>
        <v/>
      </c>
      <c r="K5" s="23">
        <f>INDEX(Détail!$F$5:$F$30,MATCH("Pilier fin couché métal (Flat Thin Pillar)",Détail!$B$5:$B$30,0))</f>
        <v/>
      </c>
      <c r="L5" s="23">
        <f>INDEX(Détail!$F$5:$F$30,MATCH("Demi-pilier fin métal (Half Thin Pillar)",Détail!$B$5:$B$30,0))</f>
        <v/>
      </c>
      <c r="M5" s="23">
        <f>INDEX(Détail!$F$5:$F$30,MATCH("Plafond à trappe métal",Détail!$B$5:$B$30,0))</f>
        <v/>
      </c>
      <c r="N5" s="23">
        <f>INDEX(Détail!$F$5:$F$30,MATCH("Escalier métal",Détail!$B$5:$B$30,0))</f>
        <v/>
      </c>
      <c r="O5" s="2" t="n"/>
      <c r="P5" s="2" t="n"/>
      <c r="Q5" s="2" t="n"/>
    </row>
    <row r="6" ht="54" customHeight="1">
      <c r="A6" s="24" t="inlineStr">
        <is>
          <t>Plan</t>
        </is>
      </c>
      <c r="B6" s="11" t="inlineStr">
        <is>
          <t>Pilier fin métal (Thin Pillar)</t>
        </is>
      </c>
      <c r="C6" s="11" t="inlineStr">
        <is>
          <t>Rampe inclinée métal (Sloped Railing)</t>
        </is>
      </c>
      <c r="D6" s="11" t="inlineStr">
        <is>
          <t>Cadre de porte double métal</t>
        </is>
      </c>
      <c r="E6" s="11" t="inlineStr">
        <is>
          <t>Fondation triangle métal</t>
        </is>
      </c>
      <c r="F6" s="11" t="inlineStr">
        <is>
          <t>Plafond triangle métal</t>
        </is>
      </c>
      <c r="G6" s="11" t="inlineStr">
        <is>
          <t>Mur métal</t>
        </is>
      </c>
      <c r="H6" s="11" t="inlineStr">
        <is>
          <t>Fondation métal</t>
        </is>
      </c>
      <c r="I6" s="11" t="inlineStr">
        <is>
          <t>Plafond métal</t>
        </is>
      </c>
      <c r="J6" s="11" t="inlineStr">
        <is>
          <t>Pilier métal</t>
        </is>
      </c>
      <c r="K6" s="11" t="inlineStr">
        <is>
          <t>Pilier fin couché métal (Flat Thin Pillar)</t>
        </is>
      </c>
      <c r="L6" s="11" t="inlineStr">
        <is>
          <t>Demi-pilier fin métal (Half Thin Pillar)</t>
        </is>
      </c>
      <c r="M6" s="11" t="inlineStr">
        <is>
          <t>Plafond à trappe métal</t>
        </is>
      </c>
      <c r="N6" s="11" t="inlineStr">
        <is>
          <t>Escalier métal</t>
        </is>
      </c>
      <c r="O6" s="5" t="inlineStr">
        <is>
          <t>Pièces</t>
        </is>
      </c>
      <c r="P6" s="5" t="inlineStr">
        <is>
          <t>Lingots</t>
        </is>
      </c>
      <c r="Q6" s="5" t="inlineStr">
        <is>
          <t>Pâte</t>
        </is>
      </c>
    </row>
    <row r="7">
      <c r="A7" s="12" t="inlineStr">
        <is>
          <t>Plan 01 sol complet</t>
        </is>
      </c>
      <c r="B7" s="16" t="n">
        <v>0</v>
      </c>
      <c r="C7" s="16" t="n">
        <v>0</v>
      </c>
      <c r="D7" s="16" t="n">
        <v>0</v>
      </c>
      <c r="E7" s="16" t="n">
        <v>684</v>
      </c>
      <c r="F7" s="16" t="n">
        <v>0</v>
      </c>
      <c r="G7" s="16" t="n">
        <v>0</v>
      </c>
      <c r="H7" s="16" t="n">
        <v>344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25">
        <f>SUM(B7:N7)</f>
        <v/>
      </c>
      <c r="P7" s="25">
        <f>SUMPRODUCT(B7:N7,B$4:N$4)</f>
        <v/>
      </c>
      <c r="Q7" s="25">
        <f>SUMPRODUCT(B7:N7,B$5:N$5)</f>
        <v/>
      </c>
    </row>
    <row r="8">
      <c r="A8" s="12" t="inlineStr">
        <is>
          <t>Plan 02 colonnade option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226</v>
      </c>
      <c r="K8" s="16" t="n">
        <v>0</v>
      </c>
      <c r="L8" s="16" t="n">
        <v>0</v>
      </c>
      <c r="M8" s="16" t="n">
        <v>0</v>
      </c>
      <c r="N8" s="16" t="n">
        <v>0</v>
      </c>
      <c r="O8" s="25">
        <f>SUM(B8:N8)</f>
        <v/>
      </c>
      <c r="P8" s="25">
        <f>SUMPRODUCT(B8:N8,B$4:N$4)</f>
        <v/>
      </c>
      <c r="Q8" s="25">
        <f>SUMPRODUCT(B8:N8,B$5:N$5)</f>
        <v/>
      </c>
    </row>
    <row r="9">
      <c r="A9" s="12" t="inlineStr">
        <is>
          <t>Plan 03 bord D8-D7</t>
        </is>
      </c>
      <c r="B9" s="16" t="n">
        <v>123</v>
      </c>
      <c r="C9" s="16" t="n">
        <v>356</v>
      </c>
      <c r="D9" s="16" t="n">
        <v>298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94</v>
      </c>
      <c r="L9" s="16" t="n">
        <v>43</v>
      </c>
      <c r="M9" s="16" t="n">
        <v>0</v>
      </c>
      <c r="N9" s="16" t="n">
        <v>0</v>
      </c>
      <c r="O9" s="25">
        <f>SUM(B9:N9)</f>
        <v/>
      </c>
      <c r="P9" s="25">
        <f>SUMPRODUCT(B9:N9,B$4:N$4)</f>
        <v/>
      </c>
      <c r="Q9" s="25">
        <f>SUMPRODUCT(B9:N9,B$5:N$5)</f>
        <v/>
      </c>
    </row>
    <row r="10">
      <c r="A10" s="12" t="inlineStr">
        <is>
          <t>Plan 04 D7-D5 pente A</t>
        </is>
      </c>
      <c r="B10" s="16" t="n">
        <v>563</v>
      </c>
      <c r="C10" s="16" t="n">
        <v>208</v>
      </c>
      <c r="D10" s="16" t="n">
        <v>32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25">
        <f>SUM(B10:N10)</f>
        <v/>
      </c>
      <c r="P10" s="25">
        <f>SUMPRODUCT(B10:N10,B$4:N$4)</f>
        <v/>
      </c>
      <c r="Q10" s="25">
        <f>SUMPRODUCT(B10:N10,B$5:N$5)</f>
        <v/>
      </c>
    </row>
    <row r="11">
      <c r="A11" s="12" t="inlineStr">
        <is>
          <t>Plan 05 tour du pod D4</t>
        </is>
      </c>
      <c r="B11" s="16" t="n">
        <v>0</v>
      </c>
      <c r="C11" s="16" t="n">
        <v>0</v>
      </c>
      <c r="D11" s="16" t="n">
        <v>17</v>
      </c>
      <c r="E11" s="16" t="n">
        <v>0</v>
      </c>
      <c r="F11" s="16" t="n">
        <v>170</v>
      </c>
      <c r="G11" s="16" t="n">
        <v>437</v>
      </c>
      <c r="H11" s="16" t="n">
        <v>0</v>
      </c>
      <c r="I11" s="16" t="n">
        <v>85</v>
      </c>
      <c r="J11" s="16" t="n">
        <v>216</v>
      </c>
      <c r="K11" s="16" t="n">
        <v>0</v>
      </c>
      <c r="L11" s="16" t="n">
        <v>0</v>
      </c>
      <c r="M11" s="16" t="n">
        <v>0</v>
      </c>
      <c r="N11" s="16" t="n">
        <v>6</v>
      </c>
      <c r="O11" s="25">
        <f>SUM(B11:N11)</f>
        <v/>
      </c>
      <c r="P11" s="25">
        <f>SUMPRODUCT(B11:N11,B$4:N$4)</f>
        <v/>
      </c>
      <c r="Q11" s="25">
        <f>SUMPRODUCT(B11:N11,B$5:N$5)</f>
        <v/>
      </c>
    </row>
    <row r="12">
      <c r="A12" s="12" t="inlineStr">
        <is>
          <t>Plan 06 D5-D4 cage et appentis</t>
        </is>
      </c>
      <c r="B12" s="16" t="n">
        <v>53</v>
      </c>
      <c r="C12" s="16" t="n">
        <v>110</v>
      </c>
      <c r="D12" s="16" t="n">
        <v>427</v>
      </c>
      <c r="E12" s="16" t="n">
        <v>0</v>
      </c>
      <c r="F12" s="16" t="n">
        <v>285</v>
      </c>
      <c r="G12" s="16" t="n">
        <v>0</v>
      </c>
      <c r="H12" s="16" t="n">
        <v>0</v>
      </c>
      <c r="I12" s="16" t="n">
        <v>136</v>
      </c>
      <c r="J12" s="16" t="n">
        <v>0</v>
      </c>
      <c r="K12" s="16" t="n">
        <v>0</v>
      </c>
      <c r="L12" s="16" t="n">
        <v>0</v>
      </c>
      <c r="M12" s="16" t="n">
        <v>5</v>
      </c>
      <c r="N12" s="16" t="n">
        <v>0</v>
      </c>
      <c r="O12" s="25">
        <f>SUM(B12:N12)</f>
        <v/>
      </c>
      <c r="P12" s="25">
        <f>SUMPRODUCT(B12:N12,B$4:N$4)</f>
        <v/>
      </c>
      <c r="Q12" s="25">
        <f>SUMPRODUCT(B12:N12,B$5:N$5)</f>
        <v/>
      </c>
    </row>
    <row r="13">
      <c r="A13" s="12" t="inlineStr">
        <is>
          <t>Plan 07 tourelles D8-D4</t>
        </is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25">
        <f>SUM(B13:N13)</f>
        <v/>
      </c>
      <c r="P13" s="25">
        <f>SUMPRODUCT(B13:N13,B$4:N$4)</f>
        <v/>
      </c>
      <c r="Q13" s="25">
        <f>SUMPRODUCT(B13:N13,B$5:N$5)</f>
        <v/>
      </c>
    </row>
    <row r="14">
      <c r="A14" s="12" t="inlineStr">
        <is>
          <t>Plan 08 tourelles perimetre pod</t>
        </is>
      </c>
      <c r="B14" s="16" t="n">
        <v>0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25">
        <f>SUM(B14:N14)</f>
        <v/>
      </c>
      <c r="P14" s="25">
        <f>SUMPRODUCT(B14:N14,B$4:N$4)</f>
        <v/>
      </c>
      <c r="Q14" s="25">
        <f>SUMPRODUCT(B14:N14,B$5:N$5)</f>
        <v/>
      </c>
    </row>
    <row r="15">
      <c r="A15" s="12" t="inlineStr">
        <is>
          <t>Plan 09 toiture pleine D4-centre</t>
        </is>
      </c>
      <c r="B15" s="16" t="n">
        <v>0</v>
      </c>
      <c r="C15" s="16" t="n">
        <v>0</v>
      </c>
      <c r="D15" s="16" t="n">
        <v>0</v>
      </c>
      <c r="E15" s="16" t="n">
        <v>0</v>
      </c>
      <c r="F15" s="16" t="n">
        <v>174</v>
      </c>
      <c r="G15" s="16" t="n">
        <v>50</v>
      </c>
      <c r="H15" s="16" t="n">
        <v>0</v>
      </c>
      <c r="I15" s="16" t="n">
        <v>86</v>
      </c>
      <c r="J15" s="16" t="n">
        <v>24</v>
      </c>
      <c r="K15" s="16" t="n">
        <v>0</v>
      </c>
      <c r="L15" s="16" t="n">
        <v>0</v>
      </c>
      <c r="M15" s="16" t="n">
        <v>1</v>
      </c>
      <c r="N15" s="16" t="n">
        <v>0</v>
      </c>
      <c r="O15" s="25">
        <f>SUM(B15:N15)</f>
        <v/>
      </c>
      <c r="P15" s="25">
        <f>SUMPRODUCT(B15:N15,B$4:N$4)</f>
        <v/>
      </c>
      <c r="Q15" s="25">
        <f>SUMPRODUCT(B15:N15,B$5:N$5)</f>
        <v/>
      </c>
    </row>
    <row r="16">
      <c r="A16" s="12" t="inlineStr">
        <is>
          <t>Plan 10 toit en rampes D4-centre</t>
        </is>
      </c>
      <c r="B16" s="16" t="n">
        <v>288</v>
      </c>
      <c r="C16" s="16" t="n">
        <v>178</v>
      </c>
      <c r="D16" s="16" t="n">
        <v>0</v>
      </c>
      <c r="E16" s="16" t="n">
        <v>0</v>
      </c>
      <c r="F16" s="16" t="n">
        <v>0</v>
      </c>
      <c r="G16" s="16" t="n">
        <v>1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25">
        <f>SUM(B16:N16)</f>
        <v/>
      </c>
      <c r="P16" s="25">
        <f>SUMPRODUCT(B16:N16,B$4:N$4)</f>
        <v/>
      </c>
      <c r="Q16" s="25">
        <f>SUMPRODUCT(B16:N16,B$5:N$5)</f>
        <v/>
      </c>
    </row>
    <row r="17">
      <c r="A17" s="12" t="inlineStr">
        <is>
          <t>Plan 11 tourelles dessus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  <c r="G17" s="16" t="n">
        <v>1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25">
        <f>SUM(B17:N17)</f>
        <v/>
      </c>
      <c r="P17" s="25">
        <f>SUMPRODUCT(B17:N17,B$4:N$4)</f>
        <v/>
      </c>
      <c r="Q17" s="25">
        <f>SUMPRODUCT(B17:N17,B$5:N$5)</f>
        <v/>
      </c>
    </row>
    <row r="18">
      <c r="A18" s="4" t="inlineStr">
        <is>
          <t>Total</t>
        </is>
      </c>
      <c r="B18" s="26">
        <f>SUM(B7:B17)</f>
        <v/>
      </c>
      <c r="C18" s="26">
        <f>SUM(C7:C17)</f>
        <v/>
      </c>
      <c r="D18" s="26">
        <f>SUM(D7:D17)</f>
        <v/>
      </c>
      <c r="E18" s="26">
        <f>SUM(E7:E17)</f>
        <v/>
      </c>
      <c r="F18" s="26">
        <f>SUM(F7:F17)</f>
        <v/>
      </c>
      <c r="G18" s="26">
        <f>SUM(G7:G17)</f>
        <v/>
      </c>
      <c r="H18" s="26">
        <f>SUM(H7:H17)</f>
        <v/>
      </c>
      <c r="I18" s="26">
        <f>SUM(I7:I17)</f>
        <v/>
      </c>
      <c r="J18" s="26">
        <f>SUM(J7:J17)</f>
        <v/>
      </c>
      <c r="K18" s="26">
        <f>SUM(K7:K17)</f>
        <v/>
      </c>
      <c r="L18" s="26">
        <f>SUM(L7:L17)</f>
        <v/>
      </c>
      <c r="M18" s="26">
        <f>SUM(M7:M17)</f>
        <v/>
      </c>
      <c r="N18" s="26">
        <f>SUM(N7:N17)</f>
        <v/>
      </c>
      <c r="O18" s="26">
        <f>SUM(O7:O17)</f>
        <v/>
      </c>
      <c r="P18" s="26">
        <f>SUM(P7:P17)</f>
        <v/>
      </c>
      <c r="Q18" s="26">
        <f>SUM(Q7:Q17)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Murs de chaume (dans les plans de zone), tourelles et carrés de culture (plans 7, 8 et 11) : onglet Détail.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2026-10-26T11:53:18Z</dcterms:created>
  <dcterms:modified xmlns:dcterms="http://purl.org/dc/terms/" xmlns:xsi="http://www.w3.org/2001/XMLSchema-instance" xsi:type="dcterms:W3CDTF">2026-10-26T11:53:18Z</dcterms:modified>
</cp:coreProperties>
</file>