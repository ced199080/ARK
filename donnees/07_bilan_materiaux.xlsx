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ynthèse" sheetId="1" state="visible" r:id="rId3"/>
    <sheet name="Coût par plan" sheetId="2" state="visible" r:id="rId4"/>
    <sheet name="Détail" sheetId="3" state="visible" r:id="rId5"/>
    <sheet name="Par pla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<sst xmlns="http://schemas.openxmlformats.org/spreadsheetml/2006/main" count="746" uniqueCount="174">
  <si>
    <t xml:space="preserve">Forteresse Ø30 — bilan matériaux</t>
  </si>
  <si>
    <t xml:space="preserve">Calculé depuis l'onglet Détail. Les tourelles (49 Heavy, 26 Tek, 10 Tesla) sont déjà en inventaire ; les 15 graines de Plant Species X se plantent à la main. Ne fabriquez que la ligne « À fabriquer ».</t>
  </si>
  <si>
    <t xml:space="preserve">Nombre de structures</t>
  </si>
  <si>
    <t xml:space="preserve">Poste</t>
  </si>
  <si>
    <t xml:space="preserve">Structures</t>
  </si>
  <si>
    <t xml:space="preserve">Devenir</t>
  </si>
  <si>
    <t xml:space="preserve">Structure des plans (sans la colonnade)</t>
  </si>
  <si>
    <t xml:space="preserve">définitives</t>
  </si>
  <si>
    <t xml:space="preserve">Carrés de culture (Plant X)</t>
  </si>
  <si>
    <t xml:space="preserve">définitifs (Plant X à planter)</t>
  </si>
  <si>
    <t xml:space="preserve">Ancres temporaires (démolies)</t>
  </si>
  <si>
    <t xml:space="preserve">démolies à la fin</t>
  </si>
  <si>
    <t xml:space="preserve">Murs de pics</t>
  </si>
  <si>
    <t xml:space="preserve">définitifs, posés à la main</t>
  </si>
  <si>
    <t xml:space="preserve">Murs de chaume (démolis)</t>
  </si>
  <si>
    <t xml:space="preserve">démolis après la pose des tourelles</t>
  </si>
  <si>
    <t xml:space="preserve">Équipements</t>
  </si>
  <si>
    <t xml:space="preserve">définitifs, hors plans</t>
  </si>
  <si>
    <t xml:space="preserve">Tourelles (déjà en inventaire)</t>
  </si>
  <si>
    <t xml:space="preserve">définitives, déjà en inventaire</t>
  </si>
  <si>
    <t xml:space="preserve">Total à poser</t>
  </si>
  <si>
    <t xml:space="preserve">Matériaux par poste</t>
  </si>
  <si>
    <t xml:space="preserve">Lingots de métal</t>
  </si>
  <si>
    <t xml:space="preserve">Pâte cimentée</t>
  </si>
  <si>
    <t xml:space="preserve">Électroniques</t>
  </si>
  <si>
    <t xml:space="preserve">Polymère</t>
  </si>
  <si>
    <t xml:space="preserve">Cristal</t>
  </si>
  <si>
    <t xml:space="preserve">Élément</t>
  </si>
  <si>
    <t xml:space="preserve">Perles noires</t>
  </si>
  <si>
    <t xml:space="preserve">Huile</t>
  </si>
  <si>
    <t xml:space="preserve">Poudre étincelante</t>
  </si>
  <si>
    <t xml:space="preserve">Cuir</t>
  </si>
  <si>
    <t xml:space="preserve">Fibre</t>
  </si>
  <si>
    <t xml:space="preserve">Chaume</t>
  </si>
  <si>
    <t xml:space="preserve">Bois</t>
  </si>
  <si>
    <t xml:space="preserve">Pierre</t>
  </si>
  <si>
    <t xml:space="preserve">À fabriquer (hors tourelles)</t>
  </si>
  <si>
    <t xml:space="preserve">Total avec les tourelles</t>
  </si>
  <si>
    <t xml:space="preserve">Équivalent en ressources brutes</t>
  </si>
  <si>
    <t xml:space="preserve">Recette (hypothèse, à vérifier sur votre serveur)</t>
  </si>
  <si>
    <t xml:space="preserve">Minerai par lingot</t>
  </si>
  <si>
    <t xml:space="preserve">Perles de silice par électronique</t>
  </si>
  <si>
    <t xml:space="preserve">Lingot par électronique</t>
  </si>
  <si>
    <t xml:space="preserve">Obsidienne par polymère</t>
  </si>
  <si>
    <t xml:space="preserve">Pâte par polymère</t>
  </si>
  <si>
    <t xml:space="preserve">Chitine/kératine par pâte</t>
  </si>
  <si>
    <t xml:space="preserve">Pierre par pâte</t>
  </si>
  <si>
    <t xml:space="preserve">Silex par poudre étincelante</t>
  </si>
  <si>
    <t xml:space="preserve">Pierre par poudre étincelante</t>
  </si>
  <si>
    <t xml:space="preserve">Ressource brute</t>
  </si>
  <si>
    <t xml:space="preserve">Hors tourelles</t>
  </si>
  <si>
    <t xml:space="preserve">Avec les tourelles</t>
  </si>
  <si>
    <t xml:space="preserve">Lingots de métal au total (électroniques comprises)</t>
  </si>
  <si>
    <t xml:space="preserve">Minerai de métal</t>
  </si>
  <si>
    <t xml:space="preserve">Pâte cimentée au total (polymère compris)</t>
  </si>
  <si>
    <t xml:space="preserve">Chitine ou kératine</t>
  </si>
  <si>
    <t xml:space="preserve">Obsidienne</t>
  </si>
  <si>
    <t xml:space="preserve">Perles de silice</t>
  </si>
  <si>
    <t xml:space="preserve">Silex</t>
  </si>
  <si>
    <t xml:space="preserve">Option colonnade (plan 2  226 piliers) : +5 650 lingots et +1 582 pâte  non comptés ici.</t>
  </si>
  <si>
    <t xml:space="preserve">Option rehausse du pod  par niveau (76 pièces) : +1 900 lingots et +532 pâte.</t>
  </si>
  <si>
    <t xml:space="preserve">Étoile centrale déjà construite : retirez 87 fondations et 174 triangles (−8 700 lingots, −2 697 pâte) dans l'onglet Détail.</t>
  </si>
  <si>
    <t xml:space="preserve">Source des quantités : outils/forteresse.py → donnees/synthese.json (bilan_complet). Limites moteur : module 09.</t>
  </si>
  <si>
    <t xml:space="preserve">Coût et nombre de structures, plan par plan</t>
  </si>
  <si>
    <t xml:space="preserve">Nombre de pièces (bleu) et coût unitaire repris de l'onglet Détail (vert) : modifiez l'onglet Détail, tout se recalcule. Tourelles = déjà en inventaire : la ligne « à fabriquer » les exclut. Récapitulatif en bas.</t>
  </si>
  <si>
    <t xml:space="preserve">Plan 01 sol complet</t>
  </si>
  <si>
    <t xml:space="preserve">1030 entrées dans le template</t>
  </si>
  <si>
    <t xml:space="preserve">Pièce</t>
  </si>
  <si>
    <t xml:space="preserve">Nombre</t>
  </si>
  <si>
    <t xml:space="preserve">Lingots de métal / u</t>
  </si>
  <si>
    <t xml:space="preserve">Pâte cimentée / u</t>
  </si>
  <si>
    <t xml:space="preserve">Électroniques / u</t>
  </si>
  <si>
    <t xml:space="preserve">Polymère / u</t>
  </si>
  <si>
    <t xml:space="preserve">Cristal / u</t>
  </si>
  <si>
    <t xml:space="preserve">Élément / u</t>
  </si>
  <si>
    <t xml:space="preserve">Perles noires / u</t>
  </si>
  <si>
    <t xml:space="preserve">Huile / u</t>
  </si>
  <si>
    <t xml:space="preserve">Poudre étincelante / u</t>
  </si>
  <si>
    <t xml:space="preserve">Cuir / u</t>
  </si>
  <si>
    <t xml:space="preserve">Fibre / u</t>
  </si>
  <si>
    <t xml:space="preserve">Chaume / u</t>
  </si>
  <si>
    <t xml:space="preserve">Bois / u</t>
  </si>
  <si>
    <t xml:space="preserve">Pierre / u</t>
  </si>
  <si>
    <t xml:space="preserve">Lingots de métal total</t>
  </si>
  <si>
    <t xml:space="preserve">Pâte cimentée total</t>
  </si>
  <si>
    <t xml:space="preserve">Électroniques total</t>
  </si>
  <si>
    <t xml:space="preserve">Polymère total</t>
  </si>
  <si>
    <t xml:space="preserve">Cristal total</t>
  </si>
  <si>
    <t xml:space="preserve">Élément total</t>
  </si>
  <si>
    <t xml:space="preserve">Perles noires total</t>
  </si>
  <si>
    <t xml:space="preserve">Huile total</t>
  </si>
  <si>
    <t xml:space="preserve">Poudre étincelante total</t>
  </si>
  <si>
    <t xml:space="preserve">Cuir total</t>
  </si>
  <si>
    <t xml:space="preserve">Fibre total</t>
  </si>
  <si>
    <t xml:space="preserve">Chaume total</t>
  </si>
  <si>
    <t xml:space="preserve">Bois total</t>
  </si>
  <si>
    <t xml:space="preserve">Pierre total</t>
  </si>
  <si>
    <t xml:space="preserve">Fondation triangle métal</t>
  </si>
  <si>
    <t xml:space="preserve">Fondation métal</t>
  </si>
  <si>
    <t xml:space="preserve">Total</t>
  </si>
  <si>
    <t xml:space="preserve">Plan 02 colonnade option</t>
  </si>
  <si>
    <t xml:space="preserve">227 entrées dans le template</t>
  </si>
  <si>
    <t xml:space="preserve">Pilier métal</t>
  </si>
  <si>
    <t xml:space="preserve">Plan 03 bord D8-D7</t>
  </si>
  <si>
    <t xml:space="preserve">660 entrées dans le template</t>
  </si>
  <si>
    <t xml:space="preserve">Rampe inclinée métal (Sloped Railing)</t>
  </si>
  <si>
    <t xml:space="preserve">Cadre de porte double métal</t>
  </si>
  <si>
    <t xml:space="preserve">Pilier fin métal (Thin Pillar)</t>
  </si>
  <si>
    <t xml:space="preserve">Demi-pilier fin métal (Half Thin Pillar)</t>
  </si>
  <si>
    <t xml:space="preserve">Mur de chaume (gabarit de pose, à démolir)</t>
  </si>
  <si>
    <t xml:space="preserve">Plan 04 D7-D5 pente A</t>
  </si>
  <si>
    <t xml:space="preserve">808 entrées dans le template</t>
  </si>
  <si>
    <t xml:space="preserve">Plan 05 tour du pod D4</t>
  </si>
  <si>
    <t xml:space="preserve">982 entrées dans le template</t>
  </si>
  <si>
    <t xml:space="preserve">Mur métal</t>
  </si>
  <si>
    <t xml:space="preserve">Plafond triangle métal</t>
  </si>
  <si>
    <t xml:space="preserve">Plafond métal</t>
  </si>
  <si>
    <t xml:space="preserve">Escalier métal</t>
  </si>
  <si>
    <t xml:space="preserve">Plan 06 D5-D4 cage et appentis</t>
  </si>
  <si>
    <t xml:space="preserve">1046 entrées dans le template</t>
  </si>
  <si>
    <t xml:space="preserve">Plafond à trappe métal</t>
  </si>
  <si>
    <t xml:space="preserve">Plan 07 tourelles D8-D4</t>
  </si>
  <si>
    <t xml:space="preserve">71 entrées dans le template</t>
  </si>
  <si>
    <t xml:space="preserve">Tourelle lourde (Heavy) (inventaire)</t>
  </si>
  <si>
    <t xml:space="preserve">Tourelle Tek (inventaire)</t>
  </si>
  <si>
    <t xml:space="preserve">Bobine Tesla (inventaire)</t>
  </si>
  <si>
    <t xml:space="preserve">Grand carré de culture (Plant Species X)</t>
  </si>
  <si>
    <t xml:space="preserve">Plan 08 tourelles perimetre pod</t>
  </si>
  <si>
    <t xml:space="preserve">21 entrées dans le template</t>
  </si>
  <si>
    <t xml:space="preserve">Carré de culture moyen (Plant Species X)</t>
  </si>
  <si>
    <t xml:space="preserve">Plan 09 toiture pleine D4-centre</t>
  </si>
  <si>
    <t xml:space="preserve">335 entrées dans le template</t>
  </si>
  <si>
    <t xml:space="preserve">Plan 10 toit en rampes D4-centre</t>
  </si>
  <si>
    <t xml:space="preserve">467 entrées dans le template</t>
  </si>
  <si>
    <t xml:space="preserve">Plan 11 tourelles dessus</t>
  </si>
  <si>
    <t xml:space="preserve">11 entrées dans le template</t>
  </si>
  <si>
    <t xml:space="preserve">Option rehausse pod +1 niveau (par niveau)</t>
  </si>
  <si>
    <t xml:space="preserve">76 entrées dans le template</t>
  </si>
  <si>
    <t xml:space="preserve">Hors plans : pics, équipements, ancres temporaires</t>
  </si>
  <si>
    <t xml:space="preserve">Mur de pics métal</t>
  </si>
  <si>
    <t xml:space="preserve">Stockage dédié Tek (Tek Dedicated Storage)</t>
  </si>
  <si>
    <t xml:space="preserve">Coffre-fort (Vault)</t>
  </si>
  <si>
    <t xml:space="preserve">Demi-pilier métal (ancre)</t>
  </si>
  <si>
    <t xml:space="preserve">Générateur Tek</t>
  </si>
  <si>
    <t xml:space="preserve">Boîte de munitions (Ammo Box)</t>
  </si>
  <si>
    <t xml:space="preserve">Réplicateur Tek</t>
  </si>
  <si>
    <t xml:space="preserve">Forge à vapeur (Steam Forge)</t>
  </si>
  <si>
    <t xml:space="preserve">Labo de fortune (Makeshift Megalab)</t>
  </si>
  <si>
    <t xml:space="preserve">Récapitulatif : tous les plans</t>
  </si>
  <si>
    <t xml:space="preserve">Plan</t>
  </si>
  <si>
    <t xml:space="preserve">Entrées template</t>
  </si>
  <si>
    <t xml:space="preserve">dont tourelles (inventaire)</t>
  </si>
  <si>
    <t xml:space="preserve">Lingots à fabriquer</t>
  </si>
  <si>
    <t xml:space="preserve">Pâte à fabriquer</t>
  </si>
  <si>
    <t xml:space="preserve">Total des plans (sans les options)</t>
  </si>
  <si>
    <t xml:space="preserve">Total de la base (plans + hors plans)</t>
  </si>
  <si>
    <t xml:space="preserve">Total avec la colonnade et 1 rehausse</t>
  </si>
  <si>
    <t xml:space="preserve">Structures : pièces posées, ancres comprises dans « hors plans », murs de chaume compris dans les plans (démolis ensuite). Les Plant X comptent dans le cap de 100 mais leur carré de culture est la seule structure posée.</t>
  </si>
  <si>
    <t xml:space="preserve">Bilan matériaux — détail par pièce</t>
  </si>
  <si>
    <t xml:space="preserve">Bleu = donnée saisie (nombre de pièces, coût unitaire) : modifiez-la, tout se recalcule. Noir = formule. Coûts unitaires : module 07 §6 et README §9 ; « oui » en colonne Estimation = coût non trouvé dans les sources.</t>
  </si>
  <si>
    <t xml:space="preserve">Estimation</t>
  </si>
  <si>
    <t xml:space="preserve">oui</t>
  </si>
  <si>
    <t xml:space="preserve">Tourelle lourde (Heavy)</t>
  </si>
  <si>
    <t xml:space="preserve">Tourelle Tek</t>
  </si>
  <si>
    <t xml:space="preserve">Bobine Tesla</t>
  </si>
  <si>
    <t xml:space="preserve">Total général (avec tourelles)</t>
  </si>
  <si>
    <t xml:space="preserve">Structure par plan (hors tourelles, carrés de culture et murs de chaume)</t>
  </si>
  <si>
    <t xml:space="preserve">Nombre de pièces par plan (bleu) ; coûts unitaires repris de l'onglet Détail (vert). Le plan 2 (colonnade) est une option, hors du total des autres onglets.</t>
  </si>
  <si>
    <t xml:space="preserve">Lingots / pièce</t>
  </si>
  <si>
    <t xml:space="preserve">Pâte / pièce</t>
  </si>
  <si>
    <t xml:space="preserve">Pièces</t>
  </si>
  <si>
    <t xml:space="preserve">Lingots</t>
  </si>
  <si>
    <t xml:space="preserve">Pâte</t>
  </si>
  <si>
    <t xml:space="preserve">Murs de chaume (dans les plans de zone), tourelles et carrés de culture (plans 7, 8 et 11) : onglet Détail.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</si>
</sst>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#,##0&quot; restent en place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4EE"/>
        <bgColor rgb="FFF2F2F2"/>
      </patternFill>
    </fill>
    <fill>
      <patternFill patternType="solid">
        <fgColor rgb="FFF2F2F2"/>
        <bgColor rgb="FFDDE4E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15" min="4" style="0" width="13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" hidden="false" customHeight="false" outlineLevel="0" collapsed="false">
      <c r="A6" s="6" t="s">
        <v>6</v>
      </c>
      <c r="B6" s="7" t="n">
        <f aca="false">SUMIFS(Détail!$C$5:$C$31,Détail!$A$5:$A$31,A6)</f>
        <v>5244</v>
      </c>
      <c r="C6" s="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customFormat="false" ht="15" hidden="false" customHeight="false" outlineLevel="0" collapsed="false">
      <c r="A7" s="6" t="s">
        <v>8</v>
      </c>
      <c r="B7" s="7" t="n">
        <f aca="false">SUMIFS(Détail!$C$5:$C$31,Détail!$A$5:$A$31,A7)</f>
        <v>15</v>
      </c>
      <c r="C7" s="6" t="s">
        <v>9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customFormat="false" ht="15" hidden="false" customHeight="false" outlineLevel="0" collapsed="false">
      <c r="A8" s="6" t="s">
        <v>10</v>
      </c>
      <c r="B8" s="7" t="n">
        <f aca="false">SUMIFS(Détail!$C$5:$C$31,Détail!$A$5:$A$31,A8)</f>
        <v>8</v>
      </c>
      <c r="C8" s="6" t="s">
        <v>11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5" hidden="false" customHeight="false" outlineLevel="0" collapsed="false">
      <c r="A9" s="6" t="s">
        <v>12</v>
      </c>
      <c r="B9" s="7" t="n">
        <f aca="false">SUMIFS(Détail!$C$5:$C$31,Détail!$A$5:$A$31,A9)</f>
        <v>74</v>
      </c>
      <c r="C9" s="6" t="s">
        <v>13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5" hidden="false" customHeight="false" outlineLevel="0" collapsed="false">
      <c r="A10" s="6" t="s">
        <v>14</v>
      </c>
      <c r="B10" s="7" t="n">
        <f aca="false">SUMIFS(Détail!$C$5:$C$31,Détail!$A$5:$A$31,A10)</f>
        <v>79</v>
      </c>
      <c r="C10" s="6" t="s">
        <v>15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" hidden="false" customHeight="false" outlineLevel="0" collapsed="false">
      <c r="A11" s="6" t="s">
        <v>16</v>
      </c>
      <c r="B11" s="7" t="n">
        <f aca="false">SUMIFS(Détail!$C$5:$C$31,Détail!$A$5:$A$31,A11)</f>
        <v>47</v>
      </c>
      <c r="C11" s="6" t="s">
        <v>17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" hidden="false" customHeight="false" outlineLevel="0" collapsed="false">
      <c r="A12" s="6" t="s">
        <v>18</v>
      </c>
      <c r="B12" s="7" t="n">
        <f aca="false">SUMIFS(Détail!$C$5:$C$31,Détail!$A$5:$A$31,A12)</f>
        <v>85</v>
      </c>
      <c r="C12" s="6" t="s">
        <v>19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" hidden="false" customHeight="false" outlineLevel="0" collapsed="false">
      <c r="A13" s="8" t="s">
        <v>20</v>
      </c>
      <c r="B13" s="9" t="n">
        <f aca="false">SUM(B6:B12)</f>
        <v>5552</v>
      </c>
      <c r="C13" s="10" t="n">
        <f aca="false">B13-B8-B10</f>
        <v>5465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" hidden="false" customHeight="false" outlineLevel="0" collapsed="false">
      <c r="A15" s="4" t="s">
        <v>21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30" hidden="false" customHeight="true" outlineLevel="0" collapsed="false">
      <c r="A16" s="11" t="s">
        <v>3</v>
      </c>
      <c r="B16" s="11" t="s">
        <v>22</v>
      </c>
      <c r="C16" s="11" t="s">
        <v>23</v>
      </c>
      <c r="D16" s="11" t="s">
        <v>24</v>
      </c>
      <c r="E16" s="11" t="s">
        <v>25</v>
      </c>
      <c r="F16" s="11" t="s">
        <v>26</v>
      </c>
      <c r="G16" s="11" t="s">
        <v>27</v>
      </c>
      <c r="H16" s="11" t="s">
        <v>28</v>
      </c>
      <c r="I16" s="11" t="s">
        <v>29</v>
      </c>
      <c r="J16" s="11" t="s">
        <v>30</v>
      </c>
      <c r="K16" s="11" t="s">
        <v>31</v>
      </c>
      <c r="L16" s="11" t="s">
        <v>32</v>
      </c>
      <c r="M16" s="11" t="s">
        <v>33</v>
      </c>
      <c r="N16" s="11" t="s">
        <v>34</v>
      </c>
      <c r="O16" s="11" t="s">
        <v>35</v>
      </c>
    </row>
    <row r="17" customFormat="false" ht="15" hidden="false" customHeight="false" outlineLevel="0" collapsed="false">
      <c r="A17" s="6" t="s">
        <v>6</v>
      </c>
      <c r="B17" s="7" t="n">
        <f aca="false">SUMIFS(Détail!$S$5:$S$31,Détail!$A$5:$A$31,$A17)</f>
        <v>115665</v>
      </c>
      <c r="C17" s="7" t="n">
        <f aca="false">SUMIFS(Détail!$T$5:$T$31,Détail!$A$5:$A$31,$A17)</f>
        <v>33557</v>
      </c>
      <c r="D17" s="7" t="n">
        <f aca="false">SUMIFS(Détail!$U$5:$U$31,Détail!$A$5:$A$31,$A17)</f>
        <v>0</v>
      </c>
      <c r="E17" s="7" t="n">
        <f aca="false">SUMIFS(Détail!$V$5:$V$31,Détail!$A$5:$A$31,$A17)</f>
        <v>0</v>
      </c>
      <c r="F17" s="7" t="n">
        <f aca="false">SUMIFS(Détail!$W$5:$W$31,Détail!$A$5:$A$31,$A17)</f>
        <v>0</v>
      </c>
      <c r="G17" s="7" t="n">
        <f aca="false">SUMIFS(Détail!$X$5:$X$31,Détail!$A$5:$A$31,$A17)</f>
        <v>0</v>
      </c>
      <c r="H17" s="7" t="n">
        <f aca="false">SUMIFS(Détail!$Y$5:$Y$31,Détail!$A$5:$A$31,$A17)</f>
        <v>0</v>
      </c>
      <c r="I17" s="7" t="n">
        <f aca="false">SUMIFS(Détail!$Z$5:$Z$31,Détail!$A$5:$A$31,$A17)</f>
        <v>0</v>
      </c>
      <c r="J17" s="7" t="n">
        <f aca="false">SUMIFS(Détail!$AA$5:$AA$31,Détail!$A$5:$A$31,$A17)</f>
        <v>0</v>
      </c>
      <c r="K17" s="7" t="n">
        <f aca="false">SUMIFS(Détail!$AB$5:$AB$31,Détail!$A$5:$A$31,$A17)</f>
        <v>0</v>
      </c>
      <c r="L17" s="7" t="n">
        <f aca="false">SUMIFS(Détail!$AC$5:$AC$31,Détail!$A$5:$A$31,$A17)</f>
        <v>0</v>
      </c>
      <c r="M17" s="7" t="n">
        <f aca="false">SUMIFS(Détail!$AD$5:$AD$31,Détail!$A$5:$A$31,$A17)</f>
        <v>0</v>
      </c>
      <c r="N17" s="7" t="n">
        <f aca="false">SUMIFS(Détail!$AE$5:$AE$31,Détail!$A$5:$A$31,$A17)</f>
        <v>0</v>
      </c>
      <c r="O17" s="7" t="n">
        <f aca="false">SUMIFS(Détail!$AF$5:$AF$31,Détail!$A$5:$A$31,$A17)</f>
        <v>0</v>
      </c>
    </row>
    <row r="18" customFormat="false" ht="15" hidden="false" customHeight="false" outlineLevel="0" collapsed="false">
      <c r="A18" s="6" t="s">
        <v>8</v>
      </c>
      <c r="B18" s="7" t="n">
        <f aca="false">SUMIFS(Détail!$S$5:$S$31,Détail!$A$5:$A$31,$A18)</f>
        <v>0</v>
      </c>
      <c r="C18" s="7" t="n">
        <f aca="false">SUMIFS(Détail!$T$5:$T$31,Détail!$A$5:$A$31,$A18)</f>
        <v>0</v>
      </c>
      <c r="D18" s="7" t="n">
        <f aca="false">SUMIFS(Détail!$U$5:$U$31,Détail!$A$5:$A$31,$A18)</f>
        <v>0</v>
      </c>
      <c r="E18" s="7" t="n">
        <f aca="false">SUMIFS(Détail!$V$5:$V$31,Détail!$A$5:$A$31,$A18)</f>
        <v>0</v>
      </c>
      <c r="F18" s="7" t="n">
        <f aca="false">SUMIFS(Détail!$W$5:$W$31,Détail!$A$5:$A$31,$A18)</f>
        <v>0</v>
      </c>
      <c r="G18" s="7" t="n">
        <f aca="false">SUMIFS(Détail!$X$5:$X$31,Détail!$A$5:$A$31,$A18)</f>
        <v>0</v>
      </c>
      <c r="H18" s="7" t="n">
        <f aca="false">SUMIFS(Détail!$Y$5:$Y$31,Détail!$A$5:$A$31,$A18)</f>
        <v>0</v>
      </c>
      <c r="I18" s="7" t="n">
        <f aca="false">SUMIFS(Détail!$Z$5:$Z$31,Détail!$A$5:$A$31,$A18)</f>
        <v>0</v>
      </c>
      <c r="J18" s="7" t="n">
        <f aca="false">SUMIFS(Détail!$AA$5:$AA$31,Détail!$A$5:$A$31,$A18)</f>
        <v>0</v>
      </c>
      <c r="K18" s="7" t="n">
        <f aca="false">SUMIFS(Détail!$AB$5:$AB$31,Détail!$A$5:$A$31,$A18)</f>
        <v>0</v>
      </c>
      <c r="L18" s="7" t="n">
        <f aca="false">SUMIFS(Détail!$AC$5:$AC$31,Détail!$A$5:$A$31,$A18)</f>
        <v>540</v>
      </c>
      <c r="M18" s="7" t="n">
        <f aca="false">SUMIFS(Détail!$AD$5:$AD$31,Détail!$A$5:$A$31,$A18)</f>
        <v>570</v>
      </c>
      <c r="N18" s="7" t="n">
        <f aca="false">SUMIFS(Détail!$AE$5:$AE$31,Détail!$A$5:$A$31,$A18)</f>
        <v>360</v>
      </c>
      <c r="O18" s="7" t="n">
        <f aca="false">SUMIFS(Détail!$AF$5:$AF$31,Détail!$A$5:$A$31,$A18)</f>
        <v>1200</v>
      </c>
    </row>
    <row r="19" customFormat="false" ht="15" hidden="false" customHeight="false" outlineLevel="0" collapsed="false">
      <c r="A19" s="6" t="s">
        <v>10</v>
      </c>
      <c r="B19" s="7" t="n">
        <f aca="false">SUMIFS(Détail!$S$5:$S$31,Détail!$A$5:$A$31,$A19)</f>
        <v>104</v>
      </c>
      <c r="C19" s="7" t="n">
        <f aca="false">SUMIFS(Détail!$T$5:$T$31,Détail!$A$5:$A$31,$A19)</f>
        <v>32</v>
      </c>
      <c r="D19" s="7" t="n">
        <f aca="false">SUMIFS(Détail!$U$5:$U$31,Détail!$A$5:$A$31,$A19)</f>
        <v>0</v>
      </c>
      <c r="E19" s="7" t="n">
        <f aca="false">SUMIFS(Détail!$V$5:$V$31,Détail!$A$5:$A$31,$A19)</f>
        <v>0</v>
      </c>
      <c r="F19" s="7" t="n">
        <f aca="false">SUMIFS(Détail!$W$5:$W$31,Détail!$A$5:$A$31,$A19)</f>
        <v>0</v>
      </c>
      <c r="G19" s="7" t="n">
        <f aca="false">SUMIFS(Détail!$X$5:$X$31,Détail!$A$5:$A$31,$A19)</f>
        <v>0</v>
      </c>
      <c r="H19" s="7" t="n">
        <f aca="false">SUMIFS(Détail!$Y$5:$Y$31,Détail!$A$5:$A$31,$A19)</f>
        <v>0</v>
      </c>
      <c r="I19" s="7" t="n">
        <f aca="false">SUMIFS(Détail!$Z$5:$Z$31,Détail!$A$5:$A$31,$A19)</f>
        <v>0</v>
      </c>
      <c r="J19" s="7" t="n">
        <f aca="false">SUMIFS(Détail!$AA$5:$AA$31,Détail!$A$5:$A$31,$A19)</f>
        <v>0</v>
      </c>
      <c r="K19" s="7" t="n">
        <f aca="false">SUMIFS(Détail!$AB$5:$AB$31,Détail!$A$5:$A$31,$A19)</f>
        <v>0</v>
      </c>
      <c r="L19" s="7" t="n">
        <f aca="false">SUMIFS(Détail!$AC$5:$AC$31,Détail!$A$5:$A$31,$A19)</f>
        <v>0</v>
      </c>
      <c r="M19" s="7" t="n">
        <f aca="false">SUMIFS(Détail!$AD$5:$AD$31,Détail!$A$5:$A$31,$A19)</f>
        <v>0</v>
      </c>
      <c r="N19" s="7" t="n">
        <f aca="false">SUMIFS(Détail!$AE$5:$AE$31,Détail!$A$5:$A$31,$A19)</f>
        <v>0</v>
      </c>
      <c r="O19" s="7" t="n">
        <f aca="false">SUMIFS(Détail!$AF$5:$AF$31,Détail!$A$5:$A$31,$A19)</f>
        <v>0</v>
      </c>
    </row>
    <row r="20" customFormat="false" ht="15" hidden="false" customHeight="false" outlineLevel="0" collapsed="false">
      <c r="A20" s="6" t="s">
        <v>12</v>
      </c>
      <c r="B20" s="7" t="n">
        <f aca="false">SUMIFS(Détail!$S$5:$S$31,Détail!$A$5:$A$31,$A20)</f>
        <v>1850</v>
      </c>
      <c r="C20" s="7" t="n">
        <f aca="false">SUMIFS(Détail!$T$5:$T$31,Détail!$A$5:$A$31,$A20)</f>
        <v>0</v>
      </c>
      <c r="D20" s="7" t="n">
        <f aca="false">SUMIFS(Détail!$U$5:$U$31,Détail!$A$5:$A$31,$A20)</f>
        <v>0</v>
      </c>
      <c r="E20" s="7" t="n">
        <f aca="false">SUMIFS(Détail!$V$5:$V$31,Détail!$A$5:$A$31,$A20)</f>
        <v>0</v>
      </c>
      <c r="F20" s="7" t="n">
        <f aca="false">SUMIFS(Détail!$W$5:$W$31,Détail!$A$5:$A$31,$A20)</f>
        <v>0</v>
      </c>
      <c r="G20" s="7" t="n">
        <f aca="false">SUMIFS(Détail!$X$5:$X$31,Détail!$A$5:$A$31,$A20)</f>
        <v>0</v>
      </c>
      <c r="H20" s="7" t="n">
        <f aca="false">SUMIFS(Détail!$Y$5:$Y$31,Détail!$A$5:$A$31,$A20)</f>
        <v>0</v>
      </c>
      <c r="I20" s="7" t="n">
        <f aca="false">SUMIFS(Détail!$Z$5:$Z$31,Détail!$A$5:$A$31,$A20)</f>
        <v>0</v>
      </c>
      <c r="J20" s="7" t="n">
        <f aca="false">SUMIFS(Détail!$AA$5:$AA$31,Détail!$A$5:$A$31,$A20)</f>
        <v>0</v>
      </c>
      <c r="K20" s="7" t="n">
        <f aca="false">SUMIFS(Détail!$AB$5:$AB$31,Détail!$A$5:$A$31,$A20)</f>
        <v>1480</v>
      </c>
      <c r="L20" s="7" t="n">
        <f aca="false">SUMIFS(Détail!$AC$5:$AC$31,Détail!$A$5:$A$31,$A20)</f>
        <v>2220</v>
      </c>
      <c r="M20" s="7" t="n">
        <f aca="false">SUMIFS(Détail!$AD$5:$AD$31,Détail!$A$5:$A$31,$A20)</f>
        <v>0</v>
      </c>
      <c r="N20" s="7" t="n">
        <f aca="false">SUMIFS(Détail!$AE$5:$AE$31,Détail!$A$5:$A$31,$A20)</f>
        <v>0</v>
      </c>
      <c r="O20" s="7" t="n">
        <f aca="false">SUMIFS(Détail!$AF$5:$AF$31,Détail!$A$5:$A$31,$A20)</f>
        <v>0</v>
      </c>
    </row>
    <row r="21" customFormat="false" ht="15" hidden="false" customHeight="false" outlineLevel="0" collapsed="false">
      <c r="A21" s="6" t="s">
        <v>14</v>
      </c>
      <c r="B21" s="7" t="n">
        <f aca="false">SUMIFS(Détail!$S$5:$S$31,Détail!$A$5:$A$31,$A21)</f>
        <v>0</v>
      </c>
      <c r="C21" s="7" t="n">
        <f aca="false">SUMIFS(Détail!$T$5:$T$31,Détail!$A$5:$A$31,$A21)</f>
        <v>0</v>
      </c>
      <c r="D21" s="7" t="n">
        <f aca="false">SUMIFS(Détail!$U$5:$U$31,Détail!$A$5:$A$31,$A21)</f>
        <v>0</v>
      </c>
      <c r="E21" s="7" t="n">
        <f aca="false">SUMIFS(Détail!$V$5:$V$31,Détail!$A$5:$A$31,$A21)</f>
        <v>0</v>
      </c>
      <c r="F21" s="7" t="n">
        <f aca="false">SUMIFS(Détail!$W$5:$W$31,Détail!$A$5:$A$31,$A21)</f>
        <v>0</v>
      </c>
      <c r="G21" s="7" t="n">
        <f aca="false">SUMIFS(Détail!$X$5:$X$31,Détail!$A$5:$A$31,$A21)</f>
        <v>0</v>
      </c>
      <c r="H21" s="7" t="n">
        <f aca="false">SUMIFS(Détail!$Y$5:$Y$31,Détail!$A$5:$A$31,$A21)</f>
        <v>0</v>
      </c>
      <c r="I21" s="7" t="n">
        <f aca="false">SUMIFS(Détail!$Z$5:$Z$31,Détail!$A$5:$A$31,$A21)</f>
        <v>0</v>
      </c>
      <c r="J21" s="7" t="n">
        <f aca="false">SUMIFS(Détail!$AA$5:$AA$31,Détail!$A$5:$A$31,$A21)</f>
        <v>0</v>
      </c>
      <c r="K21" s="7" t="n">
        <f aca="false">SUMIFS(Détail!$AB$5:$AB$31,Détail!$A$5:$A$31,$A21)</f>
        <v>0</v>
      </c>
      <c r="L21" s="7" t="n">
        <f aca="false">SUMIFS(Détail!$AC$5:$AC$31,Détail!$A$5:$A$31,$A21)</f>
        <v>316</v>
      </c>
      <c r="M21" s="7" t="n">
        <f aca="false">SUMIFS(Détail!$AD$5:$AD$31,Détail!$A$5:$A$31,$A21)</f>
        <v>553</v>
      </c>
      <c r="N21" s="7" t="n">
        <f aca="false">SUMIFS(Détail!$AE$5:$AE$31,Détail!$A$5:$A$31,$A21)</f>
        <v>316</v>
      </c>
      <c r="O21" s="7" t="n">
        <f aca="false">SUMIFS(Détail!$AF$5:$AF$31,Détail!$A$5:$A$31,$A21)</f>
        <v>0</v>
      </c>
    </row>
    <row r="22" customFormat="false" ht="15" hidden="false" customHeight="false" outlineLevel="0" collapsed="false">
      <c r="A22" s="6" t="s">
        <v>16</v>
      </c>
      <c r="B22" s="7" t="n">
        <f aca="false">SUMIFS(Détail!$S$5:$S$31,Détail!$A$5:$A$31,$A22)</f>
        <v>26000</v>
      </c>
      <c r="C22" s="7" t="n">
        <f aca="false">SUMIFS(Détail!$T$5:$T$31,Détail!$A$5:$A$31,$A22)</f>
        <v>2900</v>
      </c>
      <c r="D22" s="7" t="n">
        <f aca="false">SUMIFS(Détail!$U$5:$U$31,Détail!$A$5:$A$31,$A22)</f>
        <v>220</v>
      </c>
      <c r="E22" s="7" t="n">
        <f aca="false">SUMIFS(Détail!$V$5:$V$31,Détail!$A$5:$A$31,$A22)</f>
        <v>5850</v>
      </c>
      <c r="F22" s="7" t="n">
        <f aca="false">SUMIFS(Détail!$W$5:$W$31,Détail!$A$5:$A$31,$A22)</f>
        <v>3350</v>
      </c>
      <c r="G22" s="7" t="n">
        <f aca="false">SUMIFS(Détail!$X$5:$X$31,Détail!$A$5:$A$31,$A22)</f>
        <v>220</v>
      </c>
      <c r="H22" s="7" t="n">
        <f aca="false">SUMIFS(Détail!$Y$5:$Y$31,Détail!$A$5:$A$31,$A22)</f>
        <v>470</v>
      </c>
      <c r="I22" s="7" t="n">
        <f aca="false">SUMIFS(Détail!$Z$5:$Z$31,Détail!$A$5:$A$31,$A22)</f>
        <v>1400</v>
      </c>
      <c r="J22" s="7" t="n">
        <f aca="false">SUMIFS(Détail!$AA$5:$AA$31,Détail!$A$5:$A$31,$A22)</f>
        <v>100</v>
      </c>
      <c r="K22" s="7" t="n">
        <f aca="false">SUMIFS(Détail!$AB$5:$AB$31,Détail!$A$5:$A$31,$A22)</f>
        <v>0</v>
      </c>
      <c r="L22" s="7" t="n">
        <f aca="false">SUMIFS(Détail!$AC$5:$AC$31,Détail!$A$5:$A$31,$A22)</f>
        <v>0</v>
      </c>
      <c r="M22" s="7" t="n">
        <f aca="false">SUMIFS(Détail!$AD$5:$AD$31,Détail!$A$5:$A$31,$A22)</f>
        <v>0</v>
      </c>
      <c r="N22" s="7" t="n">
        <f aca="false">SUMIFS(Détail!$AE$5:$AE$31,Détail!$A$5:$A$31,$A22)</f>
        <v>0</v>
      </c>
      <c r="O22" s="7" t="n">
        <f aca="false">SUMIFS(Détail!$AF$5:$AF$31,Détail!$A$5:$A$31,$A22)</f>
        <v>0</v>
      </c>
    </row>
    <row r="23" customFormat="false" ht="15" hidden="false" customHeight="false" outlineLevel="0" collapsed="false">
      <c r="A23" s="6" t="s">
        <v>18</v>
      </c>
      <c r="B23" s="7" t="n">
        <f aca="false">SUMIFS(Détail!$S$5:$S$31,Détail!$A$5:$A$31,$A23)</f>
        <v>34060</v>
      </c>
      <c r="C23" s="7" t="n">
        <f aca="false">SUMIFS(Détail!$T$5:$T$31,Détail!$A$5:$A$31,$A23)</f>
        <v>11100</v>
      </c>
      <c r="D23" s="7" t="n">
        <f aca="false">SUMIFS(Détail!$U$5:$U$31,Détail!$A$5:$A$31,$A23)</f>
        <v>16830</v>
      </c>
      <c r="E23" s="7" t="n">
        <f aca="false">SUMIFS(Détail!$V$5:$V$31,Détail!$A$5:$A$31,$A23)</f>
        <v>7730</v>
      </c>
      <c r="F23" s="7" t="n">
        <f aca="false">SUMIFS(Détail!$W$5:$W$31,Détail!$A$5:$A$31,$A23)</f>
        <v>2000</v>
      </c>
      <c r="G23" s="7" t="n">
        <f aca="false">SUMIFS(Détail!$X$5:$X$31,Détail!$A$5:$A$31,$A23)</f>
        <v>78</v>
      </c>
      <c r="H23" s="7" t="n">
        <f aca="false">SUMIFS(Détail!$Y$5:$Y$31,Détail!$A$5:$A$31,$A23)</f>
        <v>0</v>
      </c>
      <c r="I23" s="7" t="n">
        <f aca="false">SUMIFS(Détail!$Z$5:$Z$31,Détail!$A$5:$A$31,$A23)</f>
        <v>0</v>
      </c>
      <c r="J23" s="7" t="n">
        <f aca="false">SUMIFS(Détail!$AA$5:$AA$31,Détail!$A$5:$A$31,$A23)</f>
        <v>0</v>
      </c>
      <c r="K23" s="7" t="n">
        <f aca="false">SUMIFS(Détail!$AB$5:$AB$31,Détail!$A$5:$A$31,$A23)</f>
        <v>0</v>
      </c>
      <c r="L23" s="7" t="n">
        <f aca="false">SUMIFS(Détail!$AC$5:$AC$31,Détail!$A$5:$A$31,$A23)</f>
        <v>0</v>
      </c>
      <c r="M23" s="7" t="n">
        <f aca="false">SUMIFS(Détail!$AD$5:$AD$31,Détail!$A$5:$A$31,$A23)</f>
        <v>0</v>
      </c>
      <c r="N23" s="7" t="n">
        <f aca="false">SUMIFS(Détail!$AE$5:$AE$31,Détail!$A$5:$A$31,$A23)</f>
        <v>0</v>
      </c>
      <c r="O23" s="7" t="n">
        <f aca="false">SUMIFS(Détail!$AF$5:$AF$31,Détail!$A$5:$A$31,$A23)</f>
        <v>0</v>
      </c>
    </row>
    <row r="24" customFormat="false" ht="15" hidden="false" customHeight="false" outlineLevel="0" collapsed="false">
      <c r="A24" s="8" t="s">
        <v>36</v>
      </c>
      <c r="B24" s="9" t="n">
        <f aca="false">SUM(B17:B22)</f>
        <v>143619</v>
      </c>
      <c r="C24" s="9" t="n">
        <f aca="false">SUM(C17:C22)</f>
        <v>36489</v>
      </c>
      <c r="D24" s="9" t="n">
        <f aca="false">SUM(D17:D22)</f>
        <v>220</v>
      </c>
      <c r="E24" s="9" t="n">
        <f aca="false">SUM(E17:E22)</f>
        <v>5850</v>
      </c>
      <c r="F24" s="9" t="n">
        <f aca="false">SUM(F17:F22)</f>
        <v>3350</v>
      </c>
      <c r="G24" s="9" t="n">
        <f aca="false">SUM(G17:G22)</f>
        <v>220</v>
      </c>
      <c r="H24" s="9" t="n">
        <f aca="false">SUM(H17:H22)</f>
        <v>470</v>
      </c>
      <c r="I24" s="9" t="n">
        <f aca="false">SUM(I17:I22)</f>
        <v>1400</v>
      </c>
      <c r="J24" s="9" t="n">
        <f aca="false">SUM(J17:J22)</f>
        <v>100</v>
      </c>
      <c r="K24" s="9" t="n">
        <f aca="false">SUM(K17:K22)</f>
        <v>1480</v>
      </c>
      <c r="L24" s="9" t="n">
        <f aca="false">SUM(L17:L22)</f>
        <v>3076</v>
      </c>
      <c r="M24" s="9" t="n">
        <f aca="false">SUM(M17:M22)</f>
        <v>1123</v>
      </c>
      <c r="N24" s="9" t="n">
        <f aca="false">SUM(N17:N22)</f>
        <v>676</v>
      </c>
      <c r="O24" s="9" t="n">
        <f aca="false">SUM(O17:O22)</f>
        <v>1200</v>
      </c>
    </row>
    <row r="25" customFormat="false" ht="15" hidden="false" customHeight="false" outlineLevel="0" collapsed="false">
      <c r="A25" s="8" t="s">
        <v>37</v>
      </c>
      <c r="B25" s="9" t="n">
        <f aca="false">SUM(B17:B23)</f>
        <v>177679</v>
      </c>
      <c r="C25" s="9" t="n">
        <f aca="false">SUM(C17:C23)</f>
        <v>47589</v>
      </c>
      <c r="D25" s="9" t="n">
        <f aca="false">SUM(D17:D23)</f>
        <v>17050</v>
      </c>
      <c r="E25" s="9" t="n">
        <f aca="false">SUM(E17:E23)</f>
        <v>13580</v>
      </c>
      <c r="F25" s="9" t="n">
        <f aca="false">SUM(F17:F23)</f>
        <v>5350</v>
      </c>
      <c r="G25" s="9" t="n">
        <f aca="false">SUM(G17:G23)</f>
        <v>298</v>
      </c>
      <c r="H25" s="9" t="n">
        <f aca="false">SUM(H17:H23)</f>
        <v>470</v>
      </c>
      <c r="I25" s="9" t="n">
        <f aca="false">SUM(I17:I23)</f>
        <v>1400</v>
      </c>
      <c r="J25" s="9" t="n">
        <f aca="false">SUM(J17:J23)</f>
        <v>100</v>
      </c>
      <c r="K25" s="9" t="n">
        <f aca="false">SUM(K17:K23)</f>
        <v>1480</v>
      </c>
      <c r="L25" s="9" t="n">
        <f aca="false">SUM(L17:L23)</f>
        <v>3076</v>
      </c>
      <c r="M25" s="9" t="n">
        <f aca="false">SUM(M17:M23)</f>
        <v>1123</v>
      </c>
      <c r="N25" s="9" t="n">
        <f aca="false">SUM(N17:N23)</f>
        <v>676</v>
      </c>
      <c r="O25" s="9" t="n">
        <f aca="false">SUM(O17:O23)</f>
        <v>1200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" hidden="false" customHeight="false" outlineLevel="0" collapsed="false">
      <c r="A27" s="4" t="s">
        <v>38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" hidden="false" customHeight="false" outlineLevel="0" collapsed="false">
      <c r="A28" s="4" t="s">
        <v>39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" hidden="false" customHeight="false" outlineLevel="0" collapsed="false">
      <c r="A29" s="12" t="s">
        <v>40</v>
      </c>
      <c r="B29" s="13" t="n">
        <v>2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" hidden="false" customHeight="false" outlineLevel="0" collapsed="false">
      <c r="A30" s="12" t="s">
        <v>41</v>
      </c>
      <c r="B30" s="13" t="n">
        <v>3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" hidden="false" customHeight="false" outlineLevel="0" collapsed="false">
      <c r="A31" s="12" t="s">
        <v>42</v>
      </c>
      <c r="B31" s="13" t="n">
        <v>1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" hidden="false" customHeight="false" outlineLevel="0" collapsed="false">
      <c r="A32" s="12" t="s">
        <v>43</v>
      </c>
      <c r="B32" s="13" t="n">
        <v>2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" hidden="false" customHeight="false" outlineLevel="0" collapsed="false">
      <c r="A33" s="12" t="s">
        <v>44</v>
      </c>
      <c r="B33" s="13" t="n">
        <v>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" hidden="false" customHeight="false" outlineLevel="0" collapsed="false">
      <c r="A34" s="12" t="s">
        <v>45</v>
      </c>
      <c r="B34" s="13" t="n">
        <v>4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" hidden="false" customHeight="false" outlineLevel="0" collapsed="false">
      <c r="A35" s="12" t="s">
        <v>46</v>
      </c>
      <c r="B35" s="13" t="n">
        <v>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" hidden="false" customHeight="false" outlineLevel="0" collapsed="false">
      <c r="A36" s="12" t="s">
        <v>47</v>
      </c>
      <c r="B36" s="13" t="n">
        <v>2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" hidden="false" customHeight="false" outlineLevel="0" collapsed="false">
      <c r="A37" s="12" t="s">
        <v>48</v>
      </c>
      <c r="B37" s="13" t="n">
        <v>1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" hidden="false" customHeight="false" outlineLevel="0" collapsed="false">
      <c r="A39" s="5" t="s">
        <v>49</v>
      </c>
      <c r="B39" s="5" t="s">
        <v>50</v>
      </c>
      <c r="C39" s="5" t="s">
        <v>51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" hidden="false" customHeight="false" outlineLevel="0" collapsed="false">
      <c r="A40" s="6" t="s">
        <v>52</v>
      </c>
      <c r="B40" s="14" t="n">
        <f aca="false">(B24+$B$31*D24)</f>
        <v>143839</v>
      </c>
      <c r="C40" s="14" t="n">
        <f aca="false">(B25+$B$31*D25)</f>
        <v>194729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" hidden="false" customHeight="false" outlineLevel="0" collapsed="false">
      <c r="A41" s="6" t="s">
        <v>53</v>
      </c>
      <c r="B41" s="14" t="n">
        <f aca="false">$B$29*(B24+$B$31*D24)</f>
        <v>287678</v>
      </c>
      <c r="C41" s="14" t="n">
        <f aca="false">$B$29*(B25+$B$31*D25)</f>
        <v>389458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" hidden="false" customHeight="false" outlineLevel="0" collapsed="false">
      <c r="A42" s="6" t="s">
        <v>54</v>
      </c>
      <c r="B42" s="14" t="n">
        <f aca="false">(C24+$B$33*E24)</f>
        <v>48189</v>
      </c>
      <c r="C42" s="14" t="n">
        <f aca="false">(C25+$B$33*E25)</f>
        <v>74749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" hidden="false" customHeight="false" outlineLevel="0" collapsed="false">
      <c r="A43" s="6" t="s">
        <v>55</v>
      </c>
      <c r="B43" s="14" t="n">
        <f aca="false">$B$34*(C24+$B$33*E24)</f>
        <v>192756</v>
      </c>
      <c r="C43" s="14" t="n">
        <f aca="false">$B$34*(C25+$B$33*E25)</f>
        <v>298996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" hidden="false" customHeight="false" outlineLevel="0" collapsed="false">
      <c r="A44" s="6" t="s">
        <v>35</v>
      </c>
      <c r="B44" s="14" t="n">
        <f aca="false">$B$35*(C24+$B$33*E24)+$B$37*J24+O24</f>
        <v>386812</v>
      </c>
      <c r="C44" s="14" t="n">
        <f aca="false">$B$35*(C25+$B$33*E25)+$B$37*J25+O25</f>
        <v>599292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" hidden="false" customHeight="false" outlineLevel="0" collapsed="false">
      <c r="A45" s="6" t="s">
        <v>56</v>
      </c>
      <c r="B45" s="14" t="n">
        <f aca="false">$B$32*E24</f>
        <v>11700</v>
      </c>
      <c r="C45" s="14" t="n">
        <f aca="false">$B$32*E25</f>
        <v>27160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" hidden="false" customHeight="false" outlineLevel="0" collapsed="false">
      <c r="A46" s="6" t="s">
        <v>57</v>
      </c>
      <c r="B46" s="14" t="n">
        <f aca="false">$B$30*D24</f>
        <v>660</v>
      </c>
      <c r="C46" s="14" t="n">
        <f aca="false">$B$30*D25</f>
        <v>51150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" hidden="false" customHeight="false" outlineLevel="0" collapsed="false">
      <c r="A47" s="6" t="s">
        <v>58</v>
      </c>
      <c r="B47" s="14" t="n">
        <f aca="false">$B$36*J24</f>
        <v>200</v>
      </c>
      <c r="C47" s="14" t="n">
        <f aca="false">$B$36*J25</f>
        <v>200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" hidden="false" customHeight="false" outlineLevel="0" collapsed="false">
      <c r="A49" s="3" t="s">
        <v>59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" hidden="false" customHeight="false" outlineLevel="0" collapsed="false">
      <c r="A50" s="3" t="s">
        <v>60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" hidden="false" customHeight="false" outlineLevel="0" collapsed="false">
      <c r="A51" s="3" t="s">
        <v>61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" hidden="false" customHeight="false" outlineLevel="0" collapsed="false">
      <c r="A52" s="3" t="s">
        <v>62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1" min="2" style="0" width="12"/>
  </cols>
  <sheetData>
    <row r="1" customFormat="false" ht="17.35" hidden="false" customHeight="false" outlineLevel="0" collapsed="false">
      <c r="A1" s="1" t="s">
        <v>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customFormat="false" ht="15" hidden="false" customHeight="false" outlineLevel="0" collapsed="false">
      <c r="A2" s="3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5" hidden="false" customHeight="false" outlineLevel="0" collapsed="false">
      <c r="A4" s="15" t="s">
        <v>65</v>
      </c>
      <c r="B4" s="2"/>
      <c r="C4" s="3" t="s">
        <v>66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30" hidden="false" customHeight="true" outlineLevel="0" collapsed="false">
      <c r="A5" s="11" t="s">
        <v>67</v>
      </c>
      <c r="B5" s="11" t="s">
        <v>68</v>
      </c>
      <c r="C5" s="11" t="s">
        <v>69</v>
      </c>
      <c r="D5" s="11" t="s">
        <v>70</v>
      </c>
      <c r="E5" s="11" t="s">
        <v>71</v>
      </c>
      <c r="F5" s="11" t="s">
        <v>72</v>
      </c>
      <c r="G5" s="11" t="s">
        <v>73</v>
      </c>
      <c r="H5" s="11" t="s">
        <v>74</v>
      </c>
      <c r="I5" s="11" t="s">
        <v>75</v>
      </c>
      <c r="J5" s="11" t="s">
        <v>76</v>
      </c>
      <c r="K5" s="11" t="s">
        <v>77</v>
      </c>
      <c r="L5" s="11" t="s">
        <v>78</v>
      </c>
      <c r="M5" s="11" t="s">
        <v>79</v>
      </c>
      <c r="N5" s="11" t="s">
        <v>80</v>
      </c>
      <c r="O5" s="11" t="s">
        <v>81</v>
      </c>
      <c r="P5" s="11" t="s">
        <v>82</v>
      </c>
      <c r="Q5" s="11" t="s">
        <v>83</v>
      </c>
      <c r="R5" s="11" t="s">
        <v>84</v>
      </c>
      <c r="S5" s="11" t="s">
        <v>85</v>
      </c>
      <c r="T5" s="11" t="s">
        <v>86</v>
      </c>
      <c r="U5" s="11" t="s">
        <v>87</v>
      </c>
      <c r="V5" s="11" t="s">
        <v>88</v>
      </c>
      <c r="W5" s="11" t="s">
        <v>89</v>
      </c>
      <c r="X5" s="11" t="s">
        <v>90</v>
      </c>
      <c r="Y5" s="11" t="s">
        <v>91</v>
      </c>
      <c r="Z5" s="11" t="s">
        <v>92</v>
      </c>
      <c r="AA5" s="11" t="s">
        <v>93</v>
      </c>
      <c r="AB5" s="11" t="s">
        <v>94</v>
      </c>
      <c r="AC5" s="11" t="s">
        <v>95</v>
      </c>
      <c r="AD5" s="11" t="s">
        <v>96</v>
      </c>
    </row>
    <row r="6" customFormat="false" ht="15" hidden="false" customHeight="false" outlineLevel="0" collapsed="false">
      <c r="A6" s="6" t="s">
        <v>97</v>
      </c>
      <c r="B6" s="16" t="n">
        <v>684</v>
      </c>
      <c r="C6" s="7" t="n">
        <f aca="false">IFERROR(INDEX(Détail!$E$5:$E$31,MATCH("Fondation triangle métal",Détail!$B$5:$B$31,0)),0)</f>
        <v>25</v>
      </c>
      <c r="D6" s="7" t="n">
        <f aca="false">IFERROR(INDEX(Détail!$F$5:$F$31,MATCH("Fondation triangle métal",Détail!$B$5:$B$31,0)),0)</f>
        <v>8</v>
      </c>
      <c r="E6" s="7" t="n">
        <f aca="false">IFERROR(INDEX(Détail!$G$5:$G$31,MATCH("Fondation triangle métal",Détail!$B$5:$B$31,0)),0)</f>
        <v>0</v>
      </c>
      <c r="F6" s="7" t="n">
        <f aca="false">IFERROR(INDEX(Détail!$H$5:$H$31,MATCH("Fondation triangle métal",Détail!$B$5:$B$31,0)),0)</f>
        <v>0</v>
      </c>
      <c r="G6" s="7" t="n">
        <f aca="false">IFERROR(INDEX(Détail!$I$5:$I$31,MATCH("Fondation triangle métal",Détail!$B$5:$B$31,0)),0)</f>
        <v>0</v>
      </c>
      <c r="H6" s="7" t="n">
        <f aca="false">IFERROR(INDEX(Détail!$J$5:$J$31,MATCH("Fondation triangle métal",Détail!$B$5:$B$31,0)),0)</f>
        <v>0</v>
      </c>
      <c r="I6" s="7" t="n">
        <f aca="false">IFERROR(INDEX(Détail!$K$5:$K$31,MATCH("Fondation triangle métal",Détail!$B$5:$B$31,0)),0)</f>
        <v>0</v>
      </c>
      <c r="J6" s="7" t="n">
        <f aca="false">IFERROR(INDEX(Détail!$L$5:$L$31,MATCH("Fondation triangle métal",Détail!$B$5:$B$31,0)),0)</f>
        <v>0</v>
      </c>
      <c r="K6" s="7" t="n">
        <f aca="false">IFERROR(INDEX(Détail!$M$5:$M$31,MATCH("Fondation triangle métal",Détail!$B$5:$B$31,0)),0)</f>
        <v>0</v>
      </c>
      <c r="L6" s="7" t="n">
        <f aca="false">IFERROR(INDEX(Détail!$N$5:$N$31,MATCH("Fondation triangle métal",Détail!$B$5:$B$31,0)),0)</f>
        <v>0</v>
      </c>
      <c r="M6" s="7" t="n">
        <f aca="false">IFERROR(INDEX(Détail!$O$5:$O$31,MATCH("Fondation triangle métal",Détail!$B$5:$B$31,0)),0)</f>
        <v>0</v>
      </c>
      <c r="N6" s="7" t="n">
        <f aca="false">IFERROR(INDEX(Détail!$P$5:$P$31,MATCH("Fondation triangle métal",Détail!$B$5:$B$31,0)),0)</f>
        <v>0</v>
      </c>
      <c r="O6" s="7" t="n">
        <f aca="false">IFERROR(INDEX(Détail!$Q$5:$Q$31,MATCH("Fondation triangle métal",Détail!$B$5:$B$31,0)),0)</f>
        <v>0</v>
      </c>
      <c r="P6" s="7" t="n">
        <f aca="false">IFERROR(INDEX(Détail!$R$5:$R$31,MATCH("Fondation triangle métal",Détail!$B$5:$B$31,0)),0)</f>
        <v>0</v>
      </c>
      <c r="Q6" s="14" t="n">
        <f aca="false">$B6*C6</f>
        <v>17100</v>
      </c>
      <c r="R6" s="14" t="n">
        <f aca="false">$B6*D6</f>
        <v>5472</v>
      </c>
      <c r="S6" s="14" t="n">
        <f aca="false">$B6*E6</f>
        <v>0</v>
      </c>
      <c r="T6" s="14" t="n">
        <f aca="false">$B6*F6</f>
        <v>0</v>
      </c>
      <c r="U6" s="14" t="n">
        <f aca="false">$B6*G6</f>
        <v>0</v>
      </c>
      <c r="V6" s="14" t="n">
        <f aca="false">$B6*H6</f>
        <v>0</v>
      </c>
      <c r="W6" s="14" t="n">
        <f aca="false">$B6*I6</f>
        <v>0</v>
      </c>
      <c r="X6" s="14" t="n">
        <f aca="false">$B6*J6</f>
        <v>0</v>
      </c>
      <c r="Y6" s="14" t="n">
        <f aca="false">$B6*K6</f>
        <v>0</v>
      </c>
      <c r="Z6" s="14" t="n">
        <f aca="false">$B6*L6</f>
        <v>0</v>
      </c>
      <c r="AA6" s="14" t="n">
        <f aca="false">$B6*M6</f>
        <v>0</v>
      </c>
      <c r="AB6" s="14" t="n">
        <f aca="false">$B6*N6</f>
        <v>0</v>
      </c>
      <c r="AC6" s="14" t="n">
        <f aca="false">$B6*O6</f>
        <v>0</v>
      </c>
      <c r="AD6" s="14" t="n">
        <f aca="false">$B6*P6</f>
        <v>0</v>
      </c>
    </row>
    <row r="7" customFormat="false" ht="15" hidden="false" customHeight="false" outlineLevel="0" collapsed="false">
      <c r="A7" s="6" t="s">
        <v>98</v>
      </c>
      <c r="B7" s="16" t="n">
        <v>344</v>
      </c>
      <c r="C7" s="7" t="n">
        <f aca="false">IFERROR(INDEX(Détail!$E$5:$E$31,MATCH("Fondation métal",Détail!$B$5:$B$31,0)),0)</f>
        <v>50</v>
      </c>
      <c r="D7" s="7" t="n">
        <f aca="false">IFERROR(INDEX(Détail!$F$5:$F$31,MATCH("Fondation métal",Détail!$B$5:$B$31,0)),0)</f>
        <v>15</v>
      </c>
      <c r="E7" s="7" t="n">
        <f aca="false">IFERROR(INDEX(Détail!$G$5:$G$31,MATCH("Fondation métal",Détail!$B$5:$B$31,0)),0)</f>
        <v>0</v>
      </c>
      <c r="F7" s="7" t="n">
        <f aca="false">IFERROR(INDEX(Détail!$H$5:$H$31,MATCH("Fondation métal",Détail!$B$5:$B$31,0)),0)</f>
        <v>0</v>
      </c>
      <c r="G7" s="7" t="n">
        <f aca="false">IFERROR(INDEX(Détail!$I$5:$I$31,MATCH("Fondation métal",Détail!$B$5:$B$31,0)),0)</f>
        <v>0</v>
      </c>
      <c r="H7" s="7" t="n">
        <f aca="false">IFERROR(INDEX(Détail!$J$5:$J$31,MATCH("Fondation métal",Détail!$B$5:$B$31,0)),0)</f>
        <v>0</v>
      </c>
      <c r="I7" s="7" t="n">
        <f aca="false">IFERROR(INDEX(Détail!$K$5:$K$31,MATCH("Fondation métal",Détail!$B$5:$B$31,0)),0)</f>
        <v>0</v>
      </c>
      <c r="J7" s="7" t="n">
        <f aca="false">IFERROR(INDEX(Détail!$L$5:$L$31,MATCH("Fondation métal",Détail!$B$5:$B$31,0)),0)</f>
        <v>0</v>
      </c>
      <c r="K7" s="7" t="n">
        <f aca="false">IFERROR(INDEX(Détail!$M$5:$M$31,MATCH("Fondation métal",Détail!$B$5:$B$31,0)),0)</f>
        <v>0</v>
      </c>
      <c r="L7" s="7" t="n">
        <f aca="false">IFERROR(INDEX(Détail!$N$5:$N$31,MATCH("Fondation métal",Détail!$B$5:$B$31,0)),0)</f>
        <v>0</v>
      </c>
      <c r="M7" s="7" t="n">
        <f aca="false">IFERROR(INDEX(Détail!$O$5:$O$31,MATCH("Fondation métal",Détail!$B$5:$B$31,0)),0)</f>
        <v>0</v>
      </c>
      <c r="N7" s="7" t="n">
        <f aca="false">IFERROR(INDEX(Détail!$P$5:$P$31,MATCH("Fondation métal",Détail!$B$5:$B$31,0)),0)</f>
        <v>0</v>
      </c>
      <c r="O7" s="7" t="n">
        <f aca="false">IFERROR(INDEX(Détail!$Q$5:$Q$31,MATCH("Fondation métal",Détail!$B$5:$B$31,0)),0)</f>
        <v>0</v>
      </c>
      <c r="P7" s="7" t="n">
        <f aca="false">IFERROR(INDEX(Détail!$R$5:$R$31,MATCH("Fondation métal",Détail!$B$5:$B$31,0)),0)</f>
        <v>0</v>
      </c>
      <c r="Q7" s="14" t="n">
        <f aca="false">$B7*C7</f>
        <v>17200</v>
      </c>
      <c r="R7" s="14" t="n">
        <f aca="false">$B7*D7</f>
        <v>5160</v>
      </c>
      <c r="S7" s="14" t="n">
        <f aca="false">$B7*E7</f>
        <v>0</v>
      </c>
      <c r="T7" s="14" t="n">
        <f aca="false">$B7*F7</f>
        <v>0</v>
      </c>
      <c r="U7" s="14" t="n">
        <f aca="false">$B7*G7</f>
        <v>0</v>
      </c>
      <c r="V7" s="14" t="n">
        <f aca="false">$B7*H7</f>
        <v>0</v>
      </c>
      <c r="W7" s="14" t="n">
        <f aca="false">$B7*I7</f>
        <v>0</v>
      </c>
      <c r="X7" s="14" t="n">
        <f aca="false">$B7*J7</f>
        <v>0</v>
      </c>
      <c r="Y7" s="14" t="n">
        <f aca="false">$B7*K7</f>
        <v>0</v>
      </c>
      <c r="Z7" s="14" t="n">
        <f aca="false">$B7*L7</f>
        <v>0</v>
      </c>
      <c r="AA7" s="14" t="n">
        <f aca="false">$B7*M7</f>
        <v>0</v>
      </c>
      <c r="AB7" s="14" t="n">
        <f aca="false">$B7*N7</f>
        <v>0</v>
      </c>
      <c r="AC7" s="14" t="n">
        <f aca="false">$B7*O7</f>
        <v>0</v>
      </c>
      <c r="AD7" s="14" t="n">
        <f aca="false">$B7*P7</f>
        <v>0</v>
      </c>
    </row>
    <row r="8" customFormat="false" ht="15" hidden="false" customHeight="false" outlineLevel="0" collapsed="false">
      <c r="A8" s="8" t="s">
        <v>99</v>
      </c>
      <c r="B8" s="9" t="n">
        <f aca="false">SUM(B6:B7)</f>
        <v>1028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9" t="n">
        <f aca="false">SUM(Q6:Q7)</f>
        <v>34300</v>
      </c>
      <c r="R8" s="9" t="n">
        <f aca="false">SUM(R6:R7)</f>
        <v>10632</v>
      </c>
      <c r="S8" s="9" t="n">
        <f aca="false">SUM(S6:S7)</f>
        <v>0</v>
      </c>
      <c r="T8" s="9" t="n">
        <f aca="false">SUM(T6:T7)</f>
        <v>0</v>
      </c>
      <c r="U8" s="9" t="n">
        <f aca="false">SUM(U6:U7)</f>
        <v>0</v>
      </c>
      <c r="V8" s="9" t="n">
        <f aca="false">SUM(V6:V7)</f>
        <v>0</v>
      </c>
      <c r="W8" s="9" t="n">
        <f aca="false">SUM(W6:W7)</f>
        <v>0</v>
      </c>
      <c r="X8" s="9" t="n">
        <f aca="false">SUM(X6:X7)</f>
        <v>0</v>
      </c>
      <c r="Y8" s="9" t="n">
        <f aca="false">SUM(Y6:Y7)</f>
        <v>0</v>
      </c>
      <c r="Z8" s="9" t="n">
        <f aca="false">SUM(Z6:Z7)</f>
        <v>0</v>
      </c>
      <c r="AA8" s="9" t="n">
        <f aca="false">SUM(AA6:AA7)</f>
        <v>0</v>
      </c>
      <c r="AB8" s="9" t="n">
        <f aca="false">SUM(AB6:AB7)</f>
        <v>0</v>
      </c>
      <c r="AC8" s="9" t="n">
        <f aca="false">SUM(AC6:AC7)</f>
        <v>0</v>
      </c>
      <c r="AD8" s="9" t="n">
        <f aca="false">SUM(AD6:AD7)</f>
        <v>0</v>
      </c>
    </row>
    <row r="9" customFormat="false" ht="15" hidden="false" customHeight="false" outlineLevel="0" collapsed="false">
      <c r="A9" s="8" t="s">
        <v>36</v>
      </c>
      <c r="B9" s="9" t="n">
        <f aca="false">SUM(B6:B7)-SUMIF(A6:A7,"* (inventaire)",B6:B7)</f>
        <v>1028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9" t="n">
        <f aca="false">SUM(Q6:Q7)-SUMIF(A6:A7,"* (inventaire)",Q6:Q7)</f>
        <v>34300</v>
      </c>
      <c r="R9" s="9" t="n">
        <f aca="false">SUM(R6:R7)-SUMIF(A6:A7,"* (inventaire)",R6:R7)</f>
        <v>10632</v>
      </c>
      <c r="S9" s="9" t="n">
        <f aca="false">SUM(S6:S7)-SUMIF(A6:A7,"* (inventaire)",S6:S7)</f>
        <v>0</v>
      </c>
      <c r="T9" s="9" t="n">
        <f aca="false">SUM(T6:T7)-SUMIF(A6:A7,"* (inventaire)",T6:T7)</f>
        <v>0</v>
      </c>
      <c r="U9" s="9" t="n">
        <f aca="false">SUM(U6:U7)-SUMIF(A6:A7,"* (inventaire)",U6:U7)</f>
        <v>0</v>
      </c>
      <c r="V9" s="9" t="n">
        <f aca="false">SUM(V6:V7)-SUMIF(A6:A7,"* (inventaire)",V6:V7)</f>
        <v>0</v>
      </c>
      <c r="W9" s="9" t="n">
        <f aca="false">SUM(W6:W7)-SUMIF(A6:A7,"* (inventaire)",W6:W7)</f>
        <v>0</v>
      </c>
      <c r="X9" s="9" t="n">
        <f aca="false">SUM(X6:X7)-SUMIF(A6:A7,"* (inventaire)",X6:X7)</f>
        <v>0</v>
      </c>
      <c r="Y9" s="9" t="n">
        <f aca="false">SUM(Y6:Y7)-SUMIF(A6:A7,"* (inventaire)",Y6:Y7)</f>
        <v>0</v>
      </c>
      <c r="Z9" s="9" t="n">
        <f aca="false">SUM(Z6:Z7)-SUMIF(A6:A7,"* (inventaire)",Z6:Z7)</f>
        <v>0</v>
      </c>
      <c r="AA9" s="9" t="n">
        <f aca="false">SUM(AA6:AA7)-SUMIF(A6:A7,"* (inventaire)",AA6:AA7)</f>
        <v>0</v>
      </c>
      <c r="AB9" s="9" t="n">
        <f aca="false">SUM(AB6:AB7)-SUMIF(A6:A7,"* (inventaire)",AB6:AB7)</f>
        <v>0</v>
      </c>
      <c r="AC9" s="9" t="n">
        <f aca="false">SUM(AC6:AC7)-SUMIF(A6:A7,"* (inventaire)",AC6:AC7)</f>
        <v>0</v>
      </c>
      <c r="AD9" s="9" t="n">
        <f aca="false">SUM(AD6:AD7)-SUMIF(A6:A7,"* (inventaire)",AD6:AD7)</f>
        <v>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5" hidden="false" customHeight="false" outlineLevel="0" collapsed="false">
      <c r="A11" s="15" t="s">
        <v>100</v>
      </c>
      <c r="B11" s="2"/>
      <c r="C11" s="3" t="s">
        <v>101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30" hidden="false" customHeight="true" outlineLevel="0" collapsed="false">
      <c r="A12" s="11" t="s">
        <v>67</v>
      </c>
      <c r="B12" s="11" t="s">
        <v>68</v>
      </c>
      <c r="C12" s="11" t="s">
        <v>69</v>
      </c>
      <c r="D12" s="11" t="s">
        <v>70</v>
      </c>
      <c r="E12" s="11" t="s">
        <v>71</v>
      </c>
      <c r="F12" s="11" t="s">
        <v>72</v>
      </c>
      <c r="G12" s="11" t="s">
        <v>73</v>
      </c>
      <c r="H12" s="11" t="s">
        <v>74</v>
      </c>
      <c r="I12" s="11" t="s">
        <v>75</v>
      </c>
      <c r="J12" s="11" t="s">
        <v>76</v>
      </c>
      <c r="K12" s="11" t="s">
        <v>77</v>
      </c>
      <c r="L12" s="11" t="s">
        <v>78</v>
      </c>
      <c r="M12" s="11" t="s">
        <v>79</v>
      </c>
      <c r="N12" s="11" t="s">
        <v>80</v>
      </c>
      <c r="O12" s="11" t="s">
        <v>81</v>
      </c>
      <c r="P12" s="11" t="s">
        <v>82</v>
      </c>
      <c r="Q12" s="11" t="s">
        <v>83</v>
      </c>
      <c r="R12" s="11" t="s">
        <v>84</v>
      </c>
      <c r="S12" s="11" t="s">
        <v>85</v>
      </c>
      <c r="T12" s="11" t="s">
        <v>86</v>
      </c>
      <c r="U12" s="11" t="s">
        <v>87</v>
      </c>
      <c r="V12" s="11" t="s">
        <v>88</v>
      </c>
      <c r="W12" s="11" t="s">
        <v>89</v>
      </c>
      <c r="X12" s="11" t="s">
        <v>90</v>
      </c>
      <c r="Y12" s="11" t="s">
        <v>91</v>
      </c>
      <c r="Z12" s="11" t="s">
        <v>92</v>
      </c>
      <c r="AA12" s="11" t="s">
        <v>93</v>
      </c>
      <c r="AB12" s="11" t="s">
        <v>94</v>
      </c>
      <c r="AC12" s="11" t="s">
        <v>95</v>
      </c>
      <c r="AD12" s="11" t="s">
        <v>96</v>
      </c>
    </row>
    <row r="13" customFormat="false" ht="15" hidden="false" customHeight="false" outlineLevel="0" collapsed="false">
      <c r="A13" s="6" t="s">
        <v>102</v>
      </c>
      <c r="B13" s="16" t="n">
        <v>226</v>
      </c>
      <c r="C13" s="7" t="n">
        <f aca="false">IFERROR(INDEX(Détail!$E$5:$E$31,MATCH("Pilier métal",Détail!$B$5:$B$31,0)),0)</f>
        <v>25</v>
      </c>
      <c r="D13" s="7" t="n">
        <f aca="false">IFERROR(INDEX(Détail!$F$5:$F$31,MATCH("Pilier métal",Détail!$B$5:$B$31,0)),0)</f>
        <v>7</v>
      </c>
      <c r="E13" s="7" t="n">
        <f aca="false">IFERROR(INDEX(Détail!$G$5:$G$31,MATCH("Pilier métal",Détail!$B$5:$B$31,0)),0)</f>
        <v>0</v>
      </c>
      <c r="F13" s="7" t="n">
        <f aca="false">IFERROR(INDEX(Détail!$H$5:$H$31,MATCH("Pilier métal",Détail!$B$5:$B$31,0)),0)</f>
        <v>0</v>
      </c>
      <c r="G13" s="7" t="n">
        <f aca="false">IFERROR(INDEX(Détail!$I$5:$I$31,MATCH("Pilier métal",Détail!$B$5:$B$31,0)),0)</f>
        <v>0</v>
      </c>
      <c r="H13" s="7" t="n">
        <f aca="false">IFERROR(INDEX(Détail!$J$5:$J$31,MATCH("Pilier métal",Détail!$B$5:$B$31,0)),0)</f>
        <v>0</v>
      </c>
      <c r="I13" s="7" t="n">
        <f aca="false">IFERROR(INDEX(Détail!$K$5:$K$31,MATCH("Pilier métal",Détail!$B$5:$B$31,0)),0)</f>
        <v>0</v>
      </c>
      <c r="J13" s="7" t="n">
        <f aca="false">IFERROR(INDEX(Détail!$L$5:$L$31,MATCH("Pilier métal",Détail!$B$5:$B$31,0)),0)</f>
        <v>0</v>
      </c>
      <c r="K13" s="7" t="n">
        <f aca="false">IFERROR(INDEX(Détail!$M$5:$M$31,MATCH("Pilier métal",Détail!$B$5:$B$31,0)),0)</f>
        <v>0</v>
      </c>
      <c r="L13" s="7" t="n">
        <f aca="false">IFERROR(INDEX(Détail!$N$5:$N$31,MATCH("Pilier métal",Détail!$B$5:$B$31,0)),0)</f>
        <v>0</v>
      </c>
      <c r="M13" s="7" t="n">
        <f aca="false">IFERROR(INDEX(Détail!$O$5:$O$31,MATCH("Pilier métal",Détail!$B$5:$B$31,0)),0)</f>
        <v>0</v>
      </c>
      <c r="N13" s="7" t="n">
        <f aca="false">IFERROR(INDEX(Détail!$P$5:$P$31,MATCH("Pilier métal",Détail!$B$5:$B$31,0)),0)</f>
        <v>0</v>
      </c>
      <c r="O13" s="7" t="n">
        <f aca="false">IFERROR(INDEX(Détail!$Q$5:$Q$31,MATCH("Pilier métal",Détail!$B$5:$B$31,0)),0)</f>
        <v>0</v>
      </c>
      <c r="P13" s="7" t="n">
        <f aca="false">IFERROR(INDEX(Détail!$R$5:$R$31,MATCH("Pilier métal",Détail!$B$5:$B$31,0)),0)</f>
        <v>0</v>
      </c>
      <c r="Q13" s="14" t="n">
        <f aca="false">$B13*C13</f>
        <v>5650</v>
      </c>
      <c r="R13" s="14" t="n">
        <f aca="false">$B13*D13</f>
        <v>1582</v>
      </c>
      <c r="S13" s="14" t="n">
        <f aca="false">$B13*E13</f>
        <v>0</v>
      </c>
      <c r="T13" s="14" t="n">
        <f aca="false">$B13*F13</f>
        <v>0</v>
      </c>
      <c r="U13" s="14" t="n">
        <f aca="false">$B13*G13</f>
        <v>0</v>
      </c>
      <c r="V13" s="14" t="n">
        <f aca="false">$B13*H13</f>
        <v>0</v>
      </c>
      <c r="W13" s="14" t="n">
        <f aca="false">$B13*I13</f>
        <v>0</v>
      </c>
      <c r="X13" s="14" t="n">
        <f aca="false">$B13*J13</f>
        <v>0</v>
      </c>
      <c r="Y13" s="14" t="n">
        <f aca="false">$B13*K13</f>
        <v>0</v>
      </c>
      <c r="Z13" s="14" t="n">
        <f aca="false">$B13*L13</f>
        <v>0</v>
      </c>
      <c r="AA13" s="14" t="n">
        <f aca="false">$B13*M13</f>
        <v>0</v>
      </c>
      <c r="AB13" s="14" t="n">
        <f aca="false">$B13*N13</f>
        <v>0</v>
      </c>
      <c r="AC13" s="14" t="n">
        <f aca="false">$B13*O13</f>
        <v>0</v>
      </c>
      <c r="AD13" s="14" t="n">
        <f aca="false">$B13*P13</f>
        <v>0</v>
      </c>
    </row>
    <row r="14" customFormat="false" ht="15" hidden="false" customHeight="false" outlineLevel="0" collapsed="false">
      <c r="A14" s="8" t="s">
        <v>99</v>
      </c>
      <c r="B14" s="9" t="n">
        <f aca="false">SUM(B13:B13)</f>
        <v>226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9" t="n">
        <f aca="false">SUM(Q13:Q13)</f>
        <v>5650</v>
      </c>
      <c r="R14" s="9" t="n">
        <f aca="false">SUM(R13:R13)</f>
        <v>1582</v>
      </c>
      <c r="S14" s="9" t="n">
        <f aca="false">SUM(S13:S13)</f>
        <v>0</v>
      </c>
      <c r="T14" s="9" t="n">
        <f aca="false">SUM(T13:T13)</f>
        <v>0</v>
      </c>
      <c r="U14" s="9" t="n">
        <f aca="false">SUM(U13:U13)</f>
        <v>0</v>
      </c>
      <c r="V14" s="9" t="n">
        <f aca="false">SUM(V13:V13)</f>
        <v>0</v>
      </c>
      <c r="W14" s="9" t="n">
        <f aca="false">SUM(W13:W13)</f>
        <v>0</v>
      </c>
      <c r="X14" s="9" t="n">
        <f aca="false">SUM(X13:X13)</f>
        <v>0</v>
      </c>
      <c r="Y14" s="9" t="n">
        <f aca="false">SUM(Y13:Y13)</f>
        <v>0</v>
      </c>
      <c r="Z14" s="9" t="n">
        <f aca="false">SUM(Z13:Z13)</f>
        <v>0</v>
      </c>
      <c r="AA14" s="9" t="n">
        <f aca="false">SUM(AA13:AA13)</f>
        <v>0</v>
      </c>
      <c r="AB14" s="9" t="n">
        <f aca="false">SUM(AB13:AB13)</f>
        <v>0</v>
      </c>
      <c r="AC14" s="9" t="n">
        <f aca="false">SUM(AC13:AC13)</f>
        <v>0</v>
      </c>
      <c r="AD14" s="9" t="n">
        <f aca="false">SUM(AD13:AD13)</f>
        <v>0</v>
      </c>
    </row>
    <row r="15" customFormat="false" ht="15" hidden="false" customHeight="false" outlineLevel="0" collapsed="false">
      <c r="A15" s="8" t="s">
        <v>36</v>
      </c>
      <c r="B15" s="9" t="n">
        <f aca="false">SUM(B13:B13)-SUMIF(A13:A13,"* (inventaire)",B13:B13)</f>
        <v>226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9" t="n">
        <f aca="false">SUM(Q13:Q13)-SUMIF(A13:A13,"* (inventaire)",Q13:Q13)</f>
        <v>5650</v>
      </c>
      <c r="R15" s="9" t="n">
        <f aca="false">SUM(R13:R13)-SUMIF(A13:A13,"* (inventaire)",R13:R13)</f>
        <v>1582</v>
      </c>
      <c r="S15" s="9" t="n">
        <f aca="false">SUM(S13:S13)-SUMIF(A13:A13,"* (inventaire)",S13:S13)</f>
        <v>0</v>
      </c>
      <c r="T15" s="9" t="n">
        <f aca="false">SUM(T13:T13)-SUMIF(A13:A13,"* (inventaire)",T13:T13)</f>
        <v>0</v>
      </c>
      <c r="U15" s="9" t="n">
        <f aca="false">SUM(U13:U13)-SUMIF(A13:A13,"* (inventaire)",U13:U13)</f>
        <v>0</v>
      </c>
      <c r="V15" s="9" t="n">
        <f aca="false">SUM(V13:V13)-SUMIF(A13:A13,"* (inventaire)",V13:V13)</f>
        <v>0</v>
      </c>
      <c r="W15" s="9" t="n">
        <f aca="false">SUM(W13:W13)-SUMIF(A13:A13,"* (inventaire)",W13:W13)</f>
        <v>0</v>
      </c>
      <c r="X15" s="9" t="n">
        <f aca="false">SUM(X13:X13)-SUMIF(A13:A13,"* (inventaire)",X13:X13)</f>
        <v>0</v>
      </c>
      <c r="Y15" s="9" t="n">
        <f aca="false">SUM(Y13:Y13)-SUMIF(A13:A13,"* (inventaire)",Y13:Y13)</f>
        <v>0</v>
      </c>
      <c r="Z15" s="9" t="n">
        <f aca="false">SUM(Z13:Z13)-SUMIF(A13:A13,"* (inventaire)",Z13:Z13)</f>
        <v>0</v>
      </c>
      <c r="AA15" s="9" t="n">
        <f aca="false">SUM(AA13:AA13)-SUMIF(A13:A13,"* (inventaire)",AA13:AA13)</f>
        <v>0</v>
      </c>
      <c r="AB15" s="9" t="n">
        <f aca="false">SUM(AB13:AB13)-SUMIF(A13:A13,"* (inventaire)",AB13:AB13)</f>
        <v>0</v>
      </c>
      <c r="AC15" s="9" t="n">
        <f aca="false">SUM(AC13:AC13)-SUMIF(A13:A13,"* (inventaire)",AC13:AC13)</f>
        <v>0</v>
      </c>
      <c r="AD15" s="9" t="n">
        <f aca="false">SUM(AD13:AD13)-SUMIF(A13:A13,"* (inventaire)",AD13:AD13)</f>
        <v>0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5" hidden="false" customHeight="false" outlineLevel="0" collapsed="false">
      <c r="A17" s="15" t="s">
        <v>103</v>
      </c>
      <c r="B17" s="2"/>
      <c r="C17" s="3" t="s">
        <v>104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30" hidden="false" customHeight="true" outlineLevel="0" collapsed="false">
      <c r="A18" s="11" t="s">
        <v>67</v>
      </c>
      <c r="B18" s="11" t="s">
        <v>68</v>
      </c>
      <c r="C18" s="11" t="s">
        <v>69</v>
      </c>
      <c r="D18" s="11" t="s">
        <v>70</v>
      </c>
      <c r="E18" s="11" t="s">
        <v>71</v>
      </c>
      <c r="F18" s="11" t="s">
        <v>72</v>
      </c>
      <c r="G18" s="11" t="s">
        <v>73</v>
      </c>
      <c r="H18" s="11" t="s">
        <v>74</v>
      </c>
      <c r="I18" s="11" t="s">
        <v>75</v>
      </c>
      <c r="J18" s="11" t="s">
        <v>76</v>
      </c>
      <c r="K18" s="11" t="s">
        <v>77</v>
      </c>
      <c r="L18" s="11" t="s">
        <v>78</v>
      </c>
      <c r="M18" s="11" t="s">
        <v>79</v>
      </c>
      <c r="N18" s="11" t="s">
        <v>80</v>
      </c>
      <c r="O18" s="11" t="s">
        <v>81</v>
      </c>
      <c r="P18" s="11" t="s">
        <v>82</v>
      </c>
      <c r="Q18" s="11" t="s">
        <v>83</v>
      </c>
      <c r="R18" s="11" t="s">
        <v>84</v>
      </c>
      <c r="S18" s="11" t="s">
        <v>85</v>
      </c>
      <c r="T18" s="11" t="s">
        <v>86</v>
      </c>
      <c r="U18" s="11" t="s">
        <v>87</v>
      </c>
      <c r="V18" s="11" t="s">
        <v>88</v>
      </c>
      <c r="W18" s="11" t="s">
        <v>89</v>
      </c>
      <c r="X18" s="11" t="s">
        <v>90</v>
      </c>
      <c r="Y18" s="11" t="s">
        <v>91</v>
      </c>
      <c r="Z18" s="11" t="s">
        <v>92</v>
      </c>
      <c r="AA18" s="11" t="s">
        <v>93</v>
      </c>
      <c r="AB18" s="11" t="s">
        <v>94</v>
      </c>
      <c r="AC18" s="11" t="s">
        <v>95</v>
      </c>
      <c r="AD18" s="11" t="s">
        <v>96</v>
      </c>
    </row>
    <row r="19" customFormat="false" ht="15" hidden="false" customHeight="false" outlineLevel="0" collapsed="false">
      <c r="A19" s="6" t="s">
        <v>105</v>
      </c>
      <c r="B19" s="16" t="n">
        <v>262</v>
      </c>
      <c r="C19" s="7" t="n">
        <f aca="false">IFERROR(INDEX(Détail!$E$5:$E$31,MATCH("Rampe inclinée métal (Sloped Railing)",Détail!$B$5:$B$31,0)),0)</f>
        <v>12</v>
      </c>
      <c r="D19" s="7" t="n">
        <f aca="false">IFERROR(INDEX(Détail!$F$5:$F$31,MATCH("Rampe inclinée métal (Sloped Railing)",Détail!$B$5:$B$31,0)),0)</f>
        <v>3</v>
      </c>
      <c r="E19" s="7" t="n">
        <f aca="false">IFERROR(INDEX(Détail!$G$5:$G$31,MATCH("Rampe inclinée métal (Sloped Railing)",Détail!$B$5:$B$31,0)),0)</f>
        <v>0</v>
      </c>
      <c r="F19" s="7" t="n">
        <f aca="false">IFERROR(INDEX(Détail!$H$5:$H$31,MATCH("Rampe inclinée métal (Sloped Railing)",Détail!$B$5:$B$31,0)),0)</f>
        <v>0</v>
      </c>
      <c r="G19" s="7" t="n">
        <f aca="false">IFERROR(INDEX(Détail!$I$5:$I$31,MATCH("Rampe inclinée métal (Sloped Railing)",Détail!$B$5:$B$31,0)),0)</f>
        <v>0</v>
      </c>
      <c r="H19" s="7" t="n">
        <f aca="false">IFERROR(INDEX(Détail!$J$5:$J$31,MATCH("Rampe inclinée métal (Sloped Railing)",Détail!$B$5:$B$31,0)),0)</f>
        <v>0</v>
      </c>
      <c r="I19" s="7" t="n">
        <f aca="false">IFERROR(INDEX(Détail!$K$5:$K$31,MATCH("Rampe inclinée métal (Sloped Railing)",Détail!$B$5:$B$31,0)),0)</f>
        <v>0</v>
      </c>
      <c r="J19" s="7" t="n">
        <f aca="false">IFERROR(INDEX(Détail!$L$5:$L$31,MATCH("Rampe inclinée métal (Sloped Railing)",Détail!$B$5:$B$31,0)),0)</f>
        <v>0</v>
      </c>
      <c r="K19" s="7" t="n">
        <f aca="false">IFERROR(INDEX(Détail!$M$5:$M$31,MATCH("Rampe inclinée métal (Sloped Railing)",Détail!$B$5:$B$31,0)),0)</f>
        <v>0</v>
      </c>
      <c r="L19" s="7" t="n">
        <f aca="false">IFERROR(INDEX(Détail!$N$5:$N$31,MATCH("Rampe inclinée métal (Sloped Railing)",Détail!$B$5:$B$31,0)),0)</f>
        <v>0</v>
      </c>
      <c r="M19" s="7" t="n">
        <f aca="false">IFERROR(INDEX(Détail!$O$5:$O$31,MATCH("Rampe inclinée métal (Sloped Railing)",Détail!$B$5:$B$31,0)),0)</f>
        <v>0</v>
      </c>
      <c r="N19" s="7" t="n">
        <f aca="false">IFERROR(INDEX(Détail!$P$5:$P$31,MATCH("Rampe inclinée métal (Sloped Railing)",Détail!$B$5:$B$31,0)),0)</f>
        <v>0</v>
      </c>
      <c r="O19" s="7" t="n">
        <f aca="false">IFERROR(INDEX(Détail!$Q$5:$Q$31,MATCH("Rampe inclinée métal (Sloped Railing)",Détail!$B$5:$B$31,0)),0)</f>
        <v>0</v>
      </c>
      <c r="P19" s="7" t="n">
        <f aca="false">IFERROR(INDEX(Détail!$R$5:$R$31,MATCH("Rampe inclinée métal (Sloped Railing)",Détail!$B$5:$B$31,0)),0)</f>
        <v>0</v>
      </c>
      <c r="Q19" s="14" t="n">
        <f aca="false">$B19*C19</f>
        <v>3144</v>
      </c>
      <c r="R19" s="14" t="n">
        <f aca="false">$B19*D19</f>
        <v>786</v>
      </c>
      <c r="S19" s="14" t="n">
        <f aca="false">$B19*E19</f>
        <v>0</v>
      </c>
      <c r="T19" s="14" t="n">
        <f aca="false">$B19*F19</f>
        <v>0</v>
      </c>
      <c r="U19" s="14" t="n">
        <f aca="false">$B19*G19</f>
        <v>0</v>
      </c>
      <c r="V19" s="14" t="n">
        <f aca="false">$B19*H19</f>
        <v>0</v>
      </c>
      <c r="W19" s="14" t="n">
        <f aca="false">$B19*I19</f>
        <v>0</v>
      </c>
      <c r="X19" s="14" t="n">
        <f aca="false">$B19*J19</f>
        <v>0</v>
      </c>
      <c r="Y19" s="14" t="n">
        <f aca="false">$B19*K19</f>
        <v>0</v>
      </c>
      <c r="Z19" s="14" t="n">
        <f aca="false">$B19*L19</f>
        <v>0</v>
      </c>
      <c r="AA19" s="14" t="n">
        <f aca="false">$B19*M19</f>
        <v>0</v>
      </c>
      <c r="AB19" s="14" t="n">
        <f aca="false">$B19*N19</f>
        <v>0</v>
      </c>
      <c r="AC19" s="14" t="n">
        <f aca="false">$B19*O19</f>
        <v>0</v>
      </c>
      <c r="AD19" s="14" t="n">
        <f aca="false">$B19*P19</f>
        <v>0</v>
      </c>
    </row>
    <row r="20" customFormat="false" ht="15" hidden="false" customHeight="false" outlineLevel="0" collapsed="false">
      <c r="A20" s="6" t="s">
        <v>106</v>
      </c>
      <c r="B20" s="16" t="n">
        <v>204</v>
      </c>
      <c r="C20" s="7" t="n">
        <f aca="false">IFERROR(INDEX(Détail!$E$5:$E$31,MATCH("Cadre de porte double métal",Détail!$B$5:$B$31,0)),0)</f>
        <v>25</v>
      </c>
      <c r="D20" s="7" t="n">
        <f aca="false">IFERROR(INDEX(Détail!$F$5:$F$31,MATCH("Cadre de porte double métal",Détail!$B$5:$B$31,0)),0)</f>
        <v>7</v>
      </c>
      <c r="E20" s="7" t="n">
        <f aca="false">IFERROR(INDEX(Détail!$G$5:$G$31,MATCH("Cadre de porte double métal",Détail!$B$5:$B$31,0)),0)</f>
        <v>0</v>
      </c>
      <c r="F20" s="7" t="n">
        <f aca="false">IFERROR(INDEX(Détail!$H$5:$H$31,MATCH("Cadre de porte double métal",Détail!$B$5:$B$31,0)),0)</f>
        <v>0</v>
      </c>
      <c r="G20" s="7" t="n">
        <f aca="false">IFERROR(INDEX(Détail!$I$5:$I$31,MATCH("Cadre de porte double métal",Détail!$B$5:$B$31,0)),0)</f>
        <v>0</v>
      </c>
      <c r="H20" s="7" t="n">
        <f aca="false">IFERROR(INDEX(Détail!$J$5:$J$31,MATCH("Cadre de porte double métal",Détail!$B$5:$B$31,0)),0)</f>
        <v>0</v>
      </c>
      <c r="I20" s="7" t="n">
        <f aca="false">IFERROR(INDEX(Détail!$K$5:$K$31,MATCH("Cadre de porte double métal",Détail!$B$5:$B$31,0)),0)</f>
        <v>0</v>
      </c>
      <c r="J20" s="7" t="n">
        <f aca="false">IFERROR(INDEX(Détail!$L$5:$L$31,MATCH("Cadre de porte double métal",Détail!$B$5:$B$31,0)),0)</f>
        <v>0</v>
      </c>
      <c r="K20" s="7" t="n">
        <f aca="false">IFERROR(INDEX(Détail!$M$5:$M$31,MATCH("Cadre de porte double métal",Détail!$B$5:$B$31,0)),0)</f>
        <v>0</v>
      </c>
      <c r="L20" s="7" t="n">
        <f aca="false">IFERROR(INDEX(Détail!$N$5:$N$31,MATCH("Cadre de porte double métal",Détail!$B$5:$B$31,0)),0)</f>
        <v>0</v>
      </c>
      <c r="M20" s="7" t="n">
        <f aca="false">IFERROR(INDEX(Détail!$O$5:$O$31,MATCH("Cadre de porte double métal",Détail!$B$5:$B$31,0)),0)</f>
        <v>0</v>
      </c>
      <c r="N20" s="7" t="n">
        <f aca="false">IFERROR(INDEX(Détail!$P$5:$P$31,MATCH("Cadre de porte double métal",Détail!$B$5:$B$31,0)),0)</f>
        <v>0</v>
      </c>
      <c r="O20" s="7" t="n">
        <f aca="false">IFERROR(INDEX(Détail!$Q$5:$Q$31,MATCH("Cadre de porte double métal",Détail!$B$5:$B$31,0)),0)</f>
        <v>0</v>
      </c>
      <c r="P20" s="7" t="n">
        <f aca="false">IFERROR(INDEX(Détail!$R$5:$R$31,MATCH("Cadre de porte double métal",Détail!$B$5:$B$31,0)),0)</f>
        <v>0</v>
      </c>
      <c r="Q20" s="14" t="n">
        <f aca="false">$B20*C20</f>
        <v>5100</v>
      </c>
      <c r="R20" s="14" t="n">
        <f aca="false">$B20*D20</f>
        <v>1428</v>
      </c>
      <c r="S20" s="14" t="n">
        <f aca="false">$B20*E20</f>
        <v>0</v>
      </c>
      <c r="T20" s="14" t="n">
        <f aca="false">$B20*F20</f>
        <v>0</v>
      </c>
      <c r="U20" s="14" t="n">
        <f aca="false">$B20*G20</f>
        <v>0</v>
      </c>
      <c r="V20" s="14" t="n">
        <f aca="false">$B20*H20</f>
        <v>0</v>
      </c>
      <c r="W20" s="14" t="n">
        <f aca="false">$B20*I20</f>
        <v>0</v>
      </c>
      <c r="X20" s="14" t="n">
        <f aca="false">$B20*J20</f>
        <v>0</v>
      </c>
      <c r="Y20" s="14" t="n">
        <f aca="false">$B20*K20</f>
        <v>0</v>
      </c>
      <c r="Z20" s="14" t="n">
        <f aca="false">$B20*L20</f>
        <v>0</v>
      </c>
      <c r="AA20" s="14" t="n">
        <f aca="false">$B20*M20</f>
        <v>0</v>
      </c>
      <c r="AB20" s="14" t="n">
        <f aca="false">$B20*N20</f>
        <v>0</v>
      </c>
      <c r="AC20" s="14" t="n">
        <f aca="false">$B20*O20</f>
        <v>0</v>
      </c>
      <c r="AD20" s="14" t="n">
        <f aca="false">$B20*P20</f>
        <v>0</v>
      </c>
    </row>
    <row r="21" customFormat="false" ht="15" hidden="false" customHeight="false" outlineLevel="0" collapsed="false">
      <c r="A21" s="6" t="s">
        <v>107</v>
      </c>
      <c r="B21" s="16" t="n">
        <v>123</v>
      </c>
      <c r="C21" s="7" t="n">
        <f aca="false">IFERROR(INDEX(Détail!$E$5:$E$31,MATCH("Pilier fin métal (Thin Pillar)",Détail!$B$5:$B$31,0)),0)</f>
        <v>13</v>
      </c>
      <c r="D21" s="7" t="n">
        <f aca="false">IFERROR(INDEX(Détail!$F$5:$F$31,MATCH("Pilier fin métal (Thin Pillar)",Détail!$B$5:$B$31,0)),0)</f>
        <v>4</v>
      </c>
      <c r="E21" s="7" t="n">
        <f aca="false">IFERROR(INDEX(Détail!$G$5:$G$31,MATCH("Pilier fin métal (Thin Pillar)",Détail!$B$5:$B$31,0)),0)</f>
        <v>0</v>
      </c>
      <c r="F21" s="7" t="n">
        <f aca="false">IFERROR(INDEX(Détail!$H$5:$H$31,MATCH("Pilier fin métal (Thin Pillar)",Détail!$B$5:$B$31,0)),0)</f>
        <v>0</v>
      </c>
      <c r="G21" s="7" t="n">
        <f aca="false">IFERROR(INDEX(Détail!$I$5:$I$31,MATCH("Pilier fin métal (Thin Pillar)",Détail!$B$5:$B$31,0)),0)</f>
        <v>0</v>
      </c>
      <c r="H21" s="7" t="n">
        <f aca="false">IFERROR(INDEX(Détail!$J$5:$J$31,MATCH("Pilier fin métal (Thin Pillar)",Détail!$B$5:$B$31,0)),0)</f>
        <v>0</v>
      </c>
      <c r="I21" s="7" t="n">
        <f aca="false">IFERROR(INDEX(Détail!$K$5:$K$31,MATCH("Pilier fin métal (Thin Pillar)",Détail!$B$5:$B$31,0)),0)</f>
        <v>0</v>
      </c>
      <c r="J21" s="7" t="n">
        <f aca="false">IFERROR(INDEX(Détail!$L$5:$L$31,MATCH("Pilier fin métal (Thin Pillar)",Détail!$B$5:$B$31,0)),0)</f>
        <v>0</v>
      </c>
      <c r="K21" s="7" t="n">
        <f aca="false">IFERROR(INDEX(Détail!$M$5:$M$31,MATCH("Pilier fin métal (Thin Pillar)",Détail!$B$5:$B$31,0)),0)</f>
        <v>0</v>
      </c>
      <c r="L21" s="7" t="n">
        <f aca="false">IFERROR(INDEX(Détail!$N$5:$N$31,MATCH("Pilier fin métal (Thin Pillar)",Détail!$B$5:$B$31,0)),0)</f>
        <v>0</v>
      </c>
      <c r="M21" s="7" t="n">
        <f aca="false">IFERROR(INDEX(Détail!$O$5:$O$31,MATCH("Pilier fin métal (Thin Pillar)",Détail!$B$5:$B$31,0)),0)</f>
        <v>0</v>
      </c>
      <c r="N21" s="7" t="n">
        <f aca="false">IFERROR(INDEX(Détail!$P$5:$P$31,MATCH("Pilier fin métal (Thin Pillar)",Détail!$B$5:$B$31,0)),0)</f>
        <v>0</v>
      </c>
      <c r="O21" s="7" t="n">
        <f aca="false">IFERROR(INDEX(Détail!$Q$5:$Q$31,MATCH("Pilier fin métal (Thin Pillar)",Détail!$B$5:$B$31,0)),0)</f>
        <v>0</v>
      </c>
      <c r="P21" s="7" t="n">
        <f aca="false">IFERROR(INDEX(Détail!$R$5:$R$31,MATCH("Pilier fin métal (Thin Pillar)",Détail!$B$5:$B$31,0)),0)</f>
        <v>0</v>
      </c>
      <c r="Q21" s="14" t="n">
        <f aca="false">$B21*C21</f>
        <v>1599</v>
      </c>
      <c r="R21" s="14" t="n">
        <f aca="false">$B21*D21</f>
        <v>492</v>
      </c>
      <c r="S21" s="14" t="n">
        <f aca="false">$B21*E21</f>
        <v>0</v>
      </c>
      <c r="T21" s="14" t="n">
        <f aca="false">$B21*F21</f>
        <v>0</v>
      </c>
      <c r="U21" s="14" t="n">
        <f aca="false">$B21*G21</f>
        <v>0</v>
      </c>
      <c r="V21" s="14" t="n">
        <f aca="false">$B21*H21</f>
        <v>0</v>
      </c>
      <c r="W21" s="14" t="n">
        <f aca="false">$B21*I21</f>
        <v>0</v>
      </c>
      <c r="X21" s="14" t="n">
        <f aca="false">$B21*J21</f>
        <v>0</v>
      </c>
      <c r="Y21" s="14" t="n">
        <f aca="false">$B21*K21</f>
        <v>0</v>
      </c>
      <c r="Z21" s="14" t="n">
        <f aca="false">$B21*L21</f>
        <v>0</v>
      </c>
      <c r="AA21" s="14" t="n">
        <f aca="false">$B21*M21</f>
        <v>0</v>
      </c>
      <c r="AB21" s="14" t="n">
        <f aca="false">$B21*N21</f>
        <v>0</v>
      </c>
      <c r="AC21" s="14" t="n">
        <f aca="false">$B21*O21</f>
        <v>0</v>
      </c>
      <c r="AD21" s="14" t="n">
        <f aca="false">$B21*P21</f>
        <v>0</v>
      </c>
    </row>
    <row r="22" customFormat="false" ht="15" hidden="false" customHeight="false" outlineLevel="0" collapsed="false">
      <c r="A22" s="6" t="s">
        <v>108</v>
      </c>
      <c r="B22" s="16" t="n">
        <v>43</v>
      </c>
      <c r="C22" s="7" t="n">
        <f aca="false">IFERROR(INDEX(Détail!$E$5:$E$31,MATCH("Demi-pilier fin métal (Half Thin Pillar)",Détail!$B$5:$B$31,0)),0)</f>
        <v>7</v>
      </c>
      <c r="D22" s="7" t="n">
        <f aca="false">IFERROR(INDEX(Détail!$F$5:$F$31,MATCH("Demi-pilier fin métal (Half Thin Pillar)",Détail!$B$5:$B$31,0)),0)</f>
        <v>2</v>
      </c>
      <c r="E22" s="7" t="n">
        <f aca="false">IFERROR(INDEX(Détail!$G$5:$G$31,MATCH("Demi-pilier fin métal (Half Thin Pillar)",Détail!$B$5:$B$31,0)),0)</f>
        <v>0</v>
      </c>
      <c r="F22" s="7" t="n">
        <f aca="false">IFERROR(INDEX(Détail!$H$5:$H$31,MATCH("Demi-pilier fin métal (Half Thin Pillar)",Détail!$B$5:$B$31,0)),0)</f>
        <v>0</v>
      </c>
      <c r="G22" s="7" t="n">
        <f aca="false">IFERROR(INDEX(Détail!$I$5:$I$31,MATCH("Demi-pilier fin métal (Half Thin Pillar)",Détail!$B$5:$B$31,0)),0)</f>
        <v>0</v>
      </c>
      <c r="H22" s="7" t="n">
        <f aca="false">IFERROR(INDEX(Détail!$J$5:$J$31,MATCH("Demi-pilier fin métal (Half Thin Pillar)",Détail!$B$5:$B$31,0)),0)</f>
        <v>0</v>
      </c>
      <c r="I22" s="7" t="n">
        <f aca="false">IFERROR(INDEX(Détail!$K$5:$K$31,MATCH("Demi-pilier fin métal (Half Thin Pillar)",Détail!$B$5:$B$31,0)),0)</f>
        <v>0</v>
      </c>
      <c r="J22" s="7" t="n">
        <f aca="false">IFERROR(INDEX(Détail!$L$5:$L$31,MATCH("Demi-pilier fin métal (Half Thin Pillar)",Détail!$B$5:$B$31,0)),0)</f>
        <v>0</v>
      </c>
      <c r="K22" s="7" t="n">
        <f aca="false">IFERROR(INDEX(Détail!$M$5:$M$31,MATCH("Demi-pilier fin métal (Half Thin Pillar)",Détail!$B$5:$B$31,0)),0)</f>
        <v>0</v>
      </c>
      <c r="L22" s="7" t="n">
        <f aca="false">IFERROR(INDEX(Détail!$N$5:$N$31,MATCH("Demi-pilier fin métal (Half Thin Pillar)",Détail!$B$5:$B$31,0)),0)</f>
        <v>0</v>
      </c>
      <c r="M22" s="7" t="n">
        <f aca="false">IFERROR(INDEX(Détail!$O$5:$O$31,MATCH("Demi-pilier fin métal (Half Thin Pillar)",Détail!$B$5:$B$31,0)),0)</f>
        <v>0</v>
      </c>
      <c r="N22" s="7" t="n">
        <f aca="false">IFERROR(INDEX(Détail!$P$5:$P$31,MATCH("Demi-pilier fin métal (Half Thin Pillar)",Détail!$B$5:$B$31,0)),0)</f>
        <v>0</v>
      </c>
      <c r="O22" s="7" t="n">
        <f aca="false">IFERROR(INDEX(Détail!$Q$5:$Q$31,MATCH("Demi-pilier fin métal (Half Thin Pillar)",Détail!$B$5:$B$31,0)),0)</f>
        <v>0</v>
      </c>
      <c r="P22" s="7" t="n">
        <f aca="false">IFERROR(INDEX(Détail!$R$5:$R$31,MATCH("Demi-pilier fin métal (Half Thin Pillar)",Détail!$B$5:$B$31,0)),0)</f>
        <v>0</v>
      </c>
      <c r="Q22" s="14" t="n">
        <f aca="false">$B22*C22</f>
        <v>301</v>
      </c>
      <c r="R22" s="14" t="n">
        <f aca="false">$B22*D22</f>
        <v>86</v>
      </c>
      <c r="S22" s="14" t="n">
        <f aca="false">$B22*E22</f>
        <v>0</v>
      </c>
      <c r="T22" s="14" t="n">
        <f aca="false">$B22*F22</f>
        <v>0</v>
      </c>
      <c r="U22" s="14" t="n">
        <f aca="false">$B22*G22</f>
        <v>0</v>
      </c>
      <c r="V22" s="14" t="n">
        <f aca="false">$B22*H22</f>
        <v>0</v>
      </c>
      <c r="W22" s="14" t="n">
        <f aca="false">$B22*I22</f>
        <v>0</v>
      </c>
      <c r="X22" s="14" t="n">
        <f aca="false">$B22*J22</f>
        <v>0</v>
      </c>
      <c r="Y22" s="14" t="n">
        <f aca="false">$B22*K22</f>
        <v>0</v>
      </c>
      <c r="Z22" s="14" t="n">
        <f aca="false">$B22*L22</f>
        <v>0</v>
      </c>
      <c r="AA22" s="14" t="n">
        <f aca="false">$B22*M22</f>
        <v>0</v>
      </c>
      <c r="AB22" s="14" t="n">
        <f aca="false">$B22*N22</f>
        <v>0</v>
      </c>
      <c r="AC22" s="14" t="n">
        <f aca="false">$B22*O22</f>
        <v>0</v>
      </c>
      <c r="AD22" s="14" t="n">
        <f aca="false">$B22*P22</f>
        <v>0</v>
      </c>
    </row>
    <row r="23" customFormat="false" ht="15" hidden="false" customHeight="false" outlineLevel="0" collapsed="false">
      <c r="A23" s="6" t="s">
        <v>109</v>
      </c>
      <c r="B23" s="16" t="n">
        <v>27</v>
      </c>
      <c r="C23" s="7" t="n">
        <f aca="false">IFERROR(INDEX(Détail!$E$5:$E$31,MATCH("Mur de chaume (gabarit de pose, à démolir)",Détail!$B$5:$B$31,0)),0)</f>
        <v>0</v>
      </c>
      <c r="D23" s="7" t="n">
        <f aca="false">IFERROR(INDEX(Détail!$F$5:$F$31,MATCH("Mur de chaume (gabarit de pose, à démolir)",Détail!$B$5:$B$31,0)),0)</f>
        <v>0</v>
      </c>
      <c r="E23" s="7" t="n">
        <f aca="false">IFERROR(INDEX(Détail!$G$5:$G$31,MATCH("Mur de chaume (gabarit de pose, à démolir)",Détail!$B$5:$B$31,0)),0)</f>
        <v>0</v>
      </c>
      <c r="F23" s="7" t="n">
        <f aca="false">IFERROR(INDEX(Détail!$H$5:$H$31,MATCH("Mur de chaume (gabarit de pose, à démolir)",Détail!$B$5:$B$31,0)),0)</f>
        <v>0</v>
      </c>
      <c r="G23" s="7" t="n">
        <f aca="false">IFERROR(INDEX(Détail!$I$5:$I$31,MATCH("Mur de chaume (gabarit de pose, à démolir)",Détail!$B$5:$B$31,0)),0)</f>
        <v>0</v>
      </c>
      <c r="H23" s="7" t="n">
        <f aca="false">IFERROR(INDEX(Détail!$J$5:$J$31,MATCH("Mur de chaume (gabarit de pose, à démolir)",Détail!$B$5:$B$31,0)),0)</f>
        <v>0</v>
      </c>
      <c r="I23" s="7" t="n">
        <f aca="false">IFERROR(INDEX(Détail!$K$5:$K$31,MATCH("Mur de chaume (gabarit de pose, à démolir)",Détail!$B$5:$B$31,0)),0)</f>
        <v>0</v>
      </c>
      <c r="J23" s="7" t="n">
        <f aca="false">IFERROR(INDEX(Détail!$L$5:$L$31,MATCH("Mur de chaume (gabarit de pose, à démolir)",Détail!$B$5:$B$31,0)),0)</f>
        <v>0</v>
      </c>
      <c r="K23" s="7" t="n">
        <f aca="false">IFERROR(INDEX(Détail!$M$5:$M$31,MATCH("Mur de chaume (gabarit de pose, à démolir)",Détail!$B$5:$B$31,0)),0)</f>
        <v>0</v>
      </c>
      <c r="L23" s="7" t="n">
        <f aca="false">IFERROR(INDEX(Détail!$N$5:$N$31,MATCH("Mur de chaume (gabarit de pose, à démolir)",Détail!$B$5:$B$31,0)),0)</f>
        <v>0</v>
      </c>
      <c r="M23" s="7" t="n">
        <f aca="false">IFERROR(INDEX(Détail!$O$5:$O$31,MATCH("Mur de chaume (gabarit de pose, à démolir)",Détail!$B$5:$B$31,0)),0)</f>
        <v>4</v>
      </c>
      <c r="N23" s="7" t="n">
        <f aca="false">IFERROR(INDEX(Détail!$P$5:$P$31,MATCH("Mur de chaume (gabarit de pose, à démolir)",Détail!$B$5:$B$31,0)),0)</f>
        <v>7</v>
      </c>
      <c r="O23" s="7" t="n">
        <f aca="false">IFERROR(INDEX(Détail!$Q$5:$Q$31,MATCH("Mur de chaume (gabarit de pose, à démolir)",Détail!$B$5:$B$31,0)),0)</f>
        <v>4</v>
      </c>
      <c r="P23" s="7" t="n">
        <f aca="false">IFERROR(INDEX(Détail!$R$5:$R$31,MATCH("Mur de chaume (gabarit de pose, à démolir)",Détail!$B$5:$B$31,0)),0)</f>
        <v>0</v>
      </c>
      <c r="Q23" s="14" t="n">
        <f aca="false">$B23*C23</f>
        <v>0</v>
      </c>
      <c r="R23" s="14" t="n">
        <f aca="false">$B23*D23</f>
        <v>0</v>
      </c>
      <c r="S23" s="14" t="n">
        <f aca="false">$B23*E23</f>
        <v>0</v>
      </c>
      <c r="T23" s="14" t="n">
        <f aca="false">$B23*F23</f>
        <v>0</v>
      </c>
      <c r="U23" s="14" t="n">
        <f aca="false">$B23*G23</f>
        <v>0</v>
      </c>
      <c r="V23" s="14" t="n">
        <f aca="false">$B23*H23</f>
        <v>0</v>
      </c>
      <c r="W23" s="14" t="n">
        <f aca="false">$B23*I23</f>
        <v>0</v>
      </c>
      <c r="X23" s="14" t="n">
        <f aca="false">$B23*J23</f>
        <v>0</v>
      </c>
      <c r="Y23" s="14" t="n">
        <f aca="false">$B23*K23</f>
        <v>0</v>
      </c>
      <c r="Z23" s="14" t="n">
        <f aca="false">$B23*L23</f>
        <v>0</v>
      </c>
      <c r="AA23" s="14" t="n">
        <f aca="false">$B23*M23</f>
        <v>108</v>
      </c>
      <c r="AB23" s="14" t="n">
        <f aca="false">$B23*N23</f>
        <v>189</v>
      </c>
      <c r="AC23" s="14" t="n">
        <f aca="false">$B23*O23</f>
        <v>108</v>
      </c>
      <c r="AD23" s="14" t="n">
        <f aca="false">$B23*P23</f>
        <v>0</v>
      </c>
    </row>
    <row r="24" customFormat="false" ht="15" hidden="false" customHeight="false" outlineLevel="0" collapsed="false">
      <c r="A24" s="8" t="s">
        <v>99</v>
      </c>
      <c r="B24" s="9" t="n">
        <f aca="false">SUM(B19:B23)</f>
        <v>659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9" t="n">
        <f aca="false">SUM(Q19:Q23)</f>
        <v>10144</v>
      </c>
      <c r="R24" s="9" t="n">
        <f aca="false">SUM(R19:R23)</f>
        <v>2792</v>
      </c>
      <c r="S24" s="9" t="n">
        <f aca="false">SUM(S19:S23)</f>
        <v>0</v>
      </c>
      <c r="T24" s="9" t="n">
        <f aca="false">SUM(T19:T23)</f>
        <v>0</v>
      </c>
      <c r="U24" s="9" t="n">
        <f aca="false">SUM(U19:U23)</f>
        <v>0</v>
      </c>
      <c r="V24" s="9" t="n">
        <f aca="false">SUM(V19:V23)</f>
        <v>0</v>
      </c>
      <c r="W24" s="9" t="n">
        <f aca="false">SUM(W19:W23)</f>
        <v>0</v>
      </c>
      <c r="X24" s="9" t="n">
        <f aca="false">SUM(X19:X23)</f>
        <v>0</v>
      </c>
      <c r="Y24" s="9" t="n">
        <f aca="false">SUM(Y19:Y23)</f>
        <v>0</v>
      </c>
      <c r="Z24" s="9" t="n">
        <f aca="false">SUM(Z19:Z23)</f>
        <v>0</v>
      </c>
      <c r="AA24" s="9" t="n">
        <f aca="false">SUM(AA19:AA23)</f>
        <v>108</v>
      </c>
      <c r="AB24" s="9" t="n">
        <f aca="false">SUM(AB19:AB23)</f>
        <v>189</v>
      </c>
      <c r="AC24" s="9" t="n">
        <f aca="false">SUM(AC19:AC23)</f>
        <v>108</v>
      </c>
      <c r="AD24" s="9" t="n">
        <f aca="false">SUM(AD19:AD23)</f>
        <v>0</v>
      </c>
    </row>
    <row r="25" customFormat="false" ht="15" hidden="false" customHeight="false" outlineLevel="0" collapsed="false">
      <c r="A25" s="8" t="s">
        <v>36</v>
      </c>
      <c r="B25" s="9" t="n">
        <f aca="false">SUM(B19:B23)-SUMIF(A19:A23,"* (inventaire)",B19:B23)</f>
        <v>659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9" t="n">
        <f aca="false">SUM(Q19:Q23)-SUMIF(A19:A23,"* (inventaire)",Q19:Q23)</f>
        <v>10144</v>
      </c>
      <c r="R25" s="9" t="n">
        <f aca="false">SUM(R19:R23)-SUMIF(A19:A23,"* (inventaire)",R19:R23)</f>
        <v>2792</v>
      </c>
      <c r="S25" s="9" t="n">
        <f aca="false">SUM(S19:S23)-SUMIF(A19:A23,"* (inventaire)",S19:S23)</f>
        <v>0</v>
      </c>
      <c r="T25" s="9" t="n">
        <f aca="false">SUM(T19:T23)-SUMIF(A19:A23,"* (inventaire)",T19:T23)</f>
        <v>0</v>
      </c>
      <c r="U25" s="9" t="n">
        <f aca="false">SUM(U19:U23)-SUMIF(A19:A23,"* (inventaire)",U19:U23)</f>
        <v>0</v>
      </c>
      <c r="V25" s="9" t="n">
        <f aca="false">SUM(V19:V23)-SUMIF(A19:A23,"* (inventaire)",V19:V23)</f>
        <v>0</v>
      </c>
      <c r="W25" s="9" t="n">
        <f aca="false">SUM(W19:W23)-SUMIF(A19:A23,"* (inventaire)",W19:W23)</f>
        <v>0</v>
      </c>
      <c r="X25" s="9" t="n">
        <f aca="false">SUM(X19:X23)-SUMIF(A19:A23,"* (inventaire)",X19:X23)</f>
        <v>0</v>
      </c>
      <c r="Y25" s="9" t="n">
        <f aca="false">SUM(Y19:Y23)-SUMIF(A19:A23,"* (inventaire)",Y19:Y23)</f>
        <v>0</v>
      </c>
      <c r="Z25" s="9" t="n">
        <f aca="false">SUM(Z19:Z23)-SUMIF(A19:A23,"* (inventaire)",Z19:Z23)</f>
        <v>0</v>
      </c>
      <c r="AA25" s="9" t="n">
        <f aca="false">SUM(AA19:AA23)-SUMIF(A19:A23,"* (inventaire)",AA19:AA23)</f>
        <v>108</v>
      </c>
      <c r="AB25" s="9" t="n">
        <f aca="false">SUM(AB19:AB23)-SUMIF(A19:A23,"* (inventaire)",AB19:AB23)</f>
        <v>189</v>
      </c>
      <c r="AC25" s="9" t="n">
        <f aca="false">SUM(AC19:AC23)-SUMIF(A19:A23,"* (inventaire)",AC19:AC23)</f>
        <v>108</v>
      </c>
      <c r="AD25" s="9" t="n">
        <f aca="false">SUM(AD19:AD23)-SUMIF(A19:A23,"* (inventaire)",AD19:AD23)</f>
        <v>0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5" hidden="false" customHeight="false" outlineLevel="0" collapsed="false">
      <c r="A27" s="15" t="s">
        <v>110</v>
      </c>
      <c r="B27" s="2"/>
      <c r="C27" s="3" t="s">
        <v>111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30" hidden="false" customHeight="true" outlineLevel="0" collapsed="false">
      <c r="A28" s="11" t="s">
        <v>67</v>
      </c>
      <c r="B28" s="11" t="s">
        <v>68</v>
      </c>
      <c r="C28" s="11" t="s">
        <v>69</v>
      </c>
      <c r="D28" s="11" t="s">
        <v>70</v>
      </c>
      <c r="E28" s="11" t="s">
        <v>71</v>
      </c>
      <c r="F28" s="11" t="s">
        <v>72</v>
      </c>
      <c r="G28" s="11" t="s">
        <v>73</v>
      </c>
      <c r="H28" s="11" t="s">
        <v>74</v>
      </c>
      <c r="I28" s="11" t="s">
        <v>75</v>
      </c>
      <c r="J28" s="11" t="s">
        <v>76</v>
      </c>
      <c r="K28" s="11" t="s">
        <v>77</v>
      </c>
      <c r="L28" s="11" t="s">
        <v>78</v>
      </c>
      <c r="M28" s="11" t="s">
        <v>79</v>
      </c>
      <c r="N28" s="11" t="s">
        <v>80</v>
      </c>
      <c r="O28" s="11" t="s">
        <v>81</v>
      </c>
      <c r="P28" s="11" t="s">
        <v>82</v>
      </c>
      <c r="Q28" s="11" t="s">
        <v>83</v>
      </c>
      <c r="R28" s="11" t="s">
        <v>84</v>
      </c>
      <c r="S28" s="11" t="s">
        <v>85</v>
      </c>
      <c r="T28" s="11" t="s">
        <v>86</v>
      </c>
      <c r="U28" s="11" t="s">
        <v>87</v>
      </c>
      <c r="V28" s="11" t="s">
        <v>88</v>
      </c>
      <c r="W28" s="11" t="s">
        <v>89</v>
      </c>
      <c r="X28" s="11" t="s">
        <v>90</v>
      </c>
      <c r="Y28" s="11" t="s">
        <v>91</v>
      </c>
      <c r="Z28" s="11" t="s">
        <v>92</v>
      </c>
      <c r="AA28" s="11" t="s">
        <v>93</v>
      </c>
      <c r="AB28" s="11" t="s">
        <v>94</v>
      </c>
      <c r="AC28" s="11" t="s">
        <v>95</v>
      </c>
      <c r="AD28" s="11" t="s">
        <v>96</v>
      </c>
    </row>
    <row r="29" customFormat="false" ht="15" hidden="false" customHeight="false" outlineLevel="0" collapsed="false">
      <c r="A29" s="6" t="s">
        <v>107</v>
      </c>
      <c r="B29" s="16" t="n">
        <v>563</v>
      </c>
      <c r="C29" s="7" t="n">
        <f aca="false">IFERROR(INDEX(Détail!$E$5:$E$31,MATCH("Pilier fin métal (Thin Pillar)",Détail!$B$5:$B$31,0)),0)</f>
        <v>13</v>
      </c>
      <c r="D29" s="7" t="n">
        <f aca="false">IFERROR(INDEX(Détail!$F$5:$F$31,MATCH("Pilier fin métal (Thin Pillar)",Détail!$B$5:$B$31,0)),0)</f>
        <v>4</v>
      </c>
      <c r="E29" s="7" t="n">
        <f aca="false">IFERROR(INDEX(Détail!$G$5:$G$31,MATCH("Pilier fin métal (Thin Pillar)",Détail!$B$5:$B$31,0)),0)</f>
        <v>0</v>
      </c>
      <c r="F29" s="7" t="n">
        <f aca="false">IFERROR(INDEX(Détail!$H$5:$H$31,MATCH("Pilier fin métal (Thin Pillar)",Détail!$B$5:$B$31,0)),0)</f>
        <v>0</v>
      </c>
      <c r="G29" s="7" t="n">
        <f aca="false">IFERROR(INDEX(Détail!$I$5:$I$31,MATCH("Pilier fin métal (Thin Pillar)",Détail!$B$5:$B$31,0)),0)</f>
        <v>0</v>
      </c>
      <c r="H29" s="7" t="n">
        <f aca="false">IFERROR(INDEX(Détail!$J$5:$J$31,MATCH("Pilier fin métal (Thin Pillar)",Détail!$B$5:$B$31,0)),0)</f>
        <v>0</v>
      </c>
      <c r="I29" s="7" t="n">
        <f aca="false">IFERROR(INDEX(Détail!$K$5:$K$31,MATCH("Pilier fin métal (Thin Pillar)",Détail!$B$5:$B$31,0)),0)</f>
        <v>0</v>
      </c>
      <c r="J29" s="7" t="n">
        <f aca="false">IFERROR(INDEX(Détail!$L$5:$L$31,MATCH("Pilier fin métal (Thin Pillar)",Détail!$B$5:$B$31,0)),0)</f>
        <v>0</v>
      </c>
      <c r="K29" s="7" t="n">
        <f aca="false">IFERROR(INDEX(Détail!$M$5:$M$31,MATCH("Pilier fin métal (Thin Pillar)",Détail!$B$5:$B$31,0)),0)</f>
        <v>0</v>
      </c>
      <c r="L29" s="7" t="n">
        <f aca="false">IFERROR(INDEX(Détail!$N$5:$N$31,MATCH("Pilier fin métal (Thin Pillar)",Détail!$B$5:$B$31,0)),0)</f>
        <v>0</v>
      </c>
      <c r="M29" s="7" t="n">
        <f aca="false">IFERROR(INDEX(Détail!$O$5:$O$31,MATCH("Pilier fin métal (Thin Pillar)",Détail!$B$5:$B$31,0)),0)</f>
        <v>0</v>
      </c>
      <c r="N29" s="7" t="n">
        <f aca="false">IFERROR(INDEX(Détail!$P$5:$P$31,MATCH("Pilier fin métal (Thin Pillar)",Détail!$B$5:$B$31,0)),0)</f>
        <v>0</v>
      </c>
      <c r="O29" s="7" t="n">
        <f aca="false">IFERROR(INDEX(Détail!$Q$5:$Q$31,MATCH("Pilier fin métal (Thin Pillar)",Détail!$B$5:$B$31,0)),0)</f>
        <v>0</v>
      </c>
      <c r="P29" s="7" t="n">
        <f aca="false">IFERROR(INDEX(Détail!$R$5:$R$31,MATCH("Pilier fin métal (Thin Pillar)",Détail!$B$5:$B$31,0)),0)</f>
        <v>0</v>
      </c>
      <c r="Q29" s="14" t="n">
        <f aca="false">$B29*C29</f>
        <v>7319</v>
      </c>
      <c r="R29" s="14" t="n">
        <f aca="false">$B29*D29</f>
        <v>2252</v>
      </c>
      <c r="S29" s="14" t="n">
        <f aca="false">$B29*E29</f>
        <v>0</v>
      </c>
      <c r="T29" s="14" t="n">
        <f aca="false">$B29*F29</f>
        <v>0</v>
      </c>
      <c r="U29" s="14" t="n">
        <f aca="false">$B29*G29</f>
        <v>0</v>
      </c>
      <c r="V29" s="14" t="n">
        <f aca="false">$B29*H29</f>
        <v>0</v>
      </c>
      <c r="W29" s="14" t="n">
        <f aca="false">$B29*I29</f>
        <v>0</v>
      </c>
      <c r="X29" s="14" t="n">
        <f aca="false">$B29*J29</f>
        <v>0</v>
      </c>
      <c r="Y29" s="14" t="n">
        <f aca="false">$B29*K29</f>
        <v>0</v>
      </c>
      <c r="Z29" s="14" t="n">
        <f aca="false">$B29*L29</f>
        <v>0</v>
      </c>
      <c r="AA29" s="14" t="n">
        <f aca="false">$B29*M29</f>
        <v>0</v>
      </c>
      <c r="AB29" s="14" t="n">
        <f aca="false">$B29*N29</f>
        <v>0</v>
      </c>
      <c r="AC29" s="14" t="n">
        <f aca="false">$B29*O29</f>
        <v>0</v>
      </c>
      <c r="AD29" s="14" t="n">
        <f aca="false">$B29*P29</f>
        <v>0</v>
      </c>
    </row>
    <row r="30" customFormat="false" ht="15" hidden="false" customHeight="false" outlineLevel="0" collapsed="false">
      <c r="A30" s="6" t="s">
        <v>105</v>
      </c>
      <c r="B30" s="16" t="n">
        <v>208</v>
      </c>
      <c r="C30" s="7" t="n">
        <f aca="false">IFERROR(INDEX(Détail!$E$5:$E$31,MATCH("Rampe inclinée métal (Sloped Railing)",Détail!$B$5:$B$31,0)),0)</f>
        <v>12</v>
      </c>
      <c r="D30" s="7" t="n">
        <f aca="false">IFERROR(INDEX(Détail!$F$5:$F$31,MATCH("Rampe inclinée métal (Sloped Railing)",Détail!$B$5:$B$31,0)),0)</f>
        <v>3</v>
      </c>
      <c r="E30" s="7" t="n">
        <f aca="false">IFERROR(INDEX(Détail!$G$5:$G$31,MATCH("Rampe inclinée métal (Sloped Railing)",Détail!$B$5:$B$31,0)),0)</f>
        <v>0</v>
      </c>
      <c r="F30" s="7" t="n">
        <f aca="false">IFERROR(INDEX(Détail!$H$5:$H$31,MATCH("Rampe inclinée métal (Sloped Railing)",Détail!$B$5:$B$31,0)),0)</f>
        <v>0</v>
      </c>
      <c r="G30" s="7" t="n">
        <f aca="false">IFERROR(INDEX(Détail!$I$5:$I$31,MATCH("Rampe inclinée métal (Sloped Railing)",Détail!$B$5:$B$31,0)),0)</f>
        <v>0</v>
      </c>
      <c r="H30" s="7" t="n">
        <f aca="false">IFERROR(INDEX(Détail!$J$5:$J$31,MATCH("Rampe inclinée métal (Sloped Railing)",Détail!$B$5:$B$31,0)),0)</f>
        <v>0</v>
      </c>
      <c r="I30" s="7" t="n">
        <f aca="false">IFERROR(INDEX(Détail!$K$5:$K$31,MATCH("Rampe inclinée métal (Sloped Railing)",Détail!$B$5:$B$31,0)),0)</f>
        <v>0</v>
      </c>
      <c r="J30" s="7" t="n">
        <f aca="false">IFERROR(INDEX(Détail!$L$5:$L$31,MATCH("Rampe inclinée métal (Sloped Railing)",Détail!$B$5:$B$31,0)),0)</f>
        <v>0</v>
      </c>
      <c r="K30" s="7" t="n">
        <f aca="false">IFERROR(INDEX(Détail!$M$5:$M$31,MATCH("Rampe inclinée métal (Sloped Railing)",Détail!$B$5:$B$31,0)),0)</f>
        <v>0</v>
      </c>
      <c r="L30" s="7" t="n">
        <f aca="false">IFERROR(INDEX(Détail!$N$5:$N$31,MATCH("Rampe inclinée métal (Sloped Railing)",Détail!$B$5:$B$31,0)),0)</f>
        <v>0</v>
      </c>
      <c r="M30" s="7" t="n">
        <f aca="false">IFERROR(INDEX(Détail!$O$5:$O$31,MATCH("Rampe inclinée métal (Sloped Railing)",Détail!$B$5:$B$31,0)),0)</f>
        <v>0</v>
      </c>
      <c r="N30" s="7" t="n">
        <f aca="false">IFERROR(INDEX(Détail!$P$5:$P$31,MATCH("Rampe inclinée métal (Sloped Railing)",Détail!$B$5:$B$31,0)),0)</f>
        <v>0</v>
      </c>
      <c r="O30" s="7" t="n">
        <f aca="false">IFERROR(INDEX(Détail!$Q$5:$Q$31,MATCH("Rampe inclinée métal (Sloped Railing)",Détail!$B$5:$B$31,0)),0)</f>
        <v>0</v>
      </c>
      <c r="P30" s="7" t="n">
        <f aca="false">IFERROR(INDEX(Détail!$R$5:$R$31,MATCH("Rampe inclinée métal (Sloped Railing)",Détail!$B$5:$B$31,0)),0)</f>
        <v>0</v>
      </c>
      <c r="Q30" s="14" t="n">
        <f aca="false">$B30*C30</f>
        <v>2496</v>
      </c>
      <c r="R30" s="14" t="n">
        <f aca="false">$B30*D30</f>
        <v>624</v>
      </c>
      <c r="S30" s="14" t="n">
        <f aca="false">$B30*E30</f>
        <v>0</v>
      </c>
      <c r="T30" s="14" t="n">
        <f aca="false">$B30*F30</f>
        <v>0</v>
      </c>
      <c r="U30" s="14" t="n">
        <f aca="false">$B30*G30</f>
        <v>0</v>
      </c>
      <c r="V30" s="14" t="n">
        <f aca="false">$B30*H30</f>
        <v>0</v>
      </c>
      <c r="W30" s="14" t="n">
        <f aca="false">$B30*I30</f>
        <v>0</v>
      </c>
      <c r="X30" s="14" t="n">
        <f aca="false">$B30*J30</f>
        <v>0</v>
      </c>
      <c r="Y30" s="14" t="n">
        <f aca="false">$B30*K30</f>
        <v>0</v>
      </c>
      <c r="Z30" s="14" t="n">
        <f aca="false">$B30*L30</f>
        <v>0</v>
      </c>
      <c r="AA30" s="14" t="n">
        <f aca="false">$B30*M30</f>
        <v>0</v>
      </c>
      <c r="AB30" s="14" t="n">
        <f aca="false">$B30*N30</f>
        <v>0</v>
      </c>
      <c r="AC30" s="14" t="n">
        <f aca="false">$B30*O30</f>
        <v>0</v>
      </c>
      <c r="AD30" s="14" t="n">
        <f aca="false">$B30*P30</f>
        <v>0</v>
      </c>
    </row>
    <row r="31" customFormat="false" ht="15" hidden="false" customHeight="false" outlineLevel="0" collapsed="false">
      <c r="A31" s="6" t="s">
        <v>106</v>
      </c>
      <c r="B31" s="16" t="n">
        <v>33</v>
      </c>
      <c r="C31" s="7" t="n">
        <f aca="false">IFERROR(INDEX(Détail!$E$5:$E$31,MATCH("Cadre de porte double métal",Détail!$B$5:$B$31,0)),0)</f>
        <v>25</v>
      </c>
      <c r="D31" s="7" t="n">
        <f aca="false">IFERROR(INDEX(Détail!$F$5:$F$31,MATCH("Cadre de porte double métal",Détail!$B$5:$B$31,0)),0)</f>
        <v>7</v>
      </c>
      <c r="E31" s="7" t="n">
        <f aca="false">IFERROR(INDEX(Détail!$G$5:$G$31,MATCH("Cadre de porte double métal",Détail!$B$5:$B$31,0)),0)</f>
        <v>0</v>
      </c>
      <c r="F31" s="7" t="n">
        <f aca="false">IFERROR(INDEX(Détail!$H$5:$H$31,MATCH("Cadre de porte double métal",Détail!$B$5:$B$31,0)),0)</f>
        <v>0</v>
      </c>
      <c r="G31" s="7" t="n">
        <f aca="false">IFERROR(INDEX(Détail!$I$5:$I$31,MATCH("Cadre de porte double métal",Détail!$B$5:$B$31,0)),0)</f>
        <v>0</v>
      </c>
      <c r="H31" s="7" t="n">
        <f aca="false">IFERROR(INDEX(Détail!$J$5:$J$31,MATCH("Cadre de porte double métal",Détail!$B$5:$B$31,0)),0)</f>
        <v>0</v>
      </c>
      <c r="I31" s="7" t="n">
        <f aca="false">IFERROR(INDEX(Détail!$K$5:$K$31,MATCH("Cadre de porte double métal",Détail!$B$5:$B$31,0)),0)</f>
        <v>0</v>
      </c>
      <c r="J31" s="7" t="n">
        <f aca="false">IFERROR(INDEX(Détail!$L$5:$L$31,MATCH("Cadre de porte double métal",Détail!$B$5:$B$31,0)),0)</f>
        <v>0</v>
      </c>
      <c r="K31" s="7" t="n">
        <f aca="false">IFERROR(INDEX(Détail!$M$5:$M$31,MATCH("Cadre de porte double métal",Détail!$B$5:$B$31,0)),0)</f>
        <v>0</v>
      </c>
      <c r="L31" s="7" t="n">
        <f aca="false">IFERROR(INDEX(Détail!$N$5:$N$31,MATCH("Cadre de porte double métal",Détail!$B$5:$B$31,0)),0)</f>
        <v>0</v>
      </c>
      <c r="M31" s="7" t="n">
        <f aca="false">IFERROR(INDEX(Détail!$O$5:$O$31,MATCH("Cadre de porte double métal",Détail!$B$5:$B$31,0)),0)</f>
        <v>0</v>
      </c>
      <c r="N31" s="7" t="n">
        <f aca="false">IFERROR(INDEX(Détail!$P$5:$P$31,MATCH("Cadre de porte double métal",Détail!$B$5:$B$31,0)),0)</f>
        <v>0</v>
      </c>
      <c r="O31" s="7" t="n">
        <f aca="false">IFERROR(INDEX(Détail!$Q$5:$Q$31,MATCH("Cadre de porte double métal",Détail!$B$5:$B$31,0)),0)</f>
        <v>0</v>
      </c>
      <c r="P31" s="7" t="n">
        <f aca="false">IFERROR(INDEX(Détail!$R$5:$R$31,MATCH("Cadre de porte double métal",Détail!$B$5:$B$31,0)),0)</f>
        <v>0</v>
      </c>
      <c r="Q31" s="14" t="n">
        <f aca="false">$B31*C31</f>
        <v>825</v>
      </c>
      <c r="R31" s="14" t="n">
        <f aca="false">$B31*D31</f>
        <v>231</v>
      </c>
      <c r="S31" s="14" t="n">
        <f aca="false">$B31*E31</f>
        <v>0</v>
      </c>
      <c r="T31" s="14" t="n">
        <f aca="false">$B31*F31</f>
        <v>0</v>
      </c>
      <c r="U31" s="14" t="n">
        <f aca="false">$B31*G31</f>
        <v>0</v>
      </c>
      <c r="V31" s="14" t="n">
        <f aca="false">$B31*H31</f>
        <v>0</v>
      </c>
      <c r="W31" s="14" t="n">
        <f aca="false">$B31*I31</f>
        <v>0</v>
      </c>
      <c r="X31" s="14" t="n">
        <f aca="false">$B31*J31</f>
        <v>0</v>
      </c>
      <c r="Y31" s="14" t="n">
        <f aca="false">$B31*K31</f>
        <v>0</v>
      </c>
      <c r="Z31" s="14" t="n">
        <f aca="false">$B31*L31</f>
        <v>0</v>
      </c>
      <c r="AA31" s="14" t="n">
        <f aca="false">$B31*M31</f>
        <v>0</v>
      </c>
      <c r="AB31" s="14" t="n">
        <f aca="false">$B31*N31</f>
        <v>0</v>
      </c>
      <c r="AC31" s="14" t="n">
        <f aca="false">$B31*O31</f>
        <v>0</v>
      </c>
      <c r="AD31" s="14" t="n">
        <f aca="false">$B31*P31</f>
        <v>0</v>
      </c>
    </row>
    <row r="32" customFormat="false" ht="15" hidden="false" customHeight="false" outlineLevel="0" collapsed="false">
      <c r="A32" s="6" t="s">
        <v>109</v>
      </c>
      <c r="B32" s="16" t="n">
        <v>3</v>
      </c>
      <c r="C32" s="7" t="n">
        <f aca="false">IFERROR(INDEX(Détail!$E$5:$E$31,MATCH("Mur de chaume (gabarit de pose, à démolir)",Détail!$B$5:$B$31,0)),0)</f>
        <v>0</v>
      </c>
      <c r="D32" s="7" t="n">
        <f aca="false">IFERROR(INDEX(Détail!$F$5:$F$31,MATCH("Mur de chaume (gabarit de pose, à démolir)",Détail!$B$5:$B$31,0)),0)</f>
        <v>0</v>
      </c>
      <c r="E32" s="7" t="n">
        <f aca="false">IFERROR(INDEX(Détail!$G$5:$G$31,MATCH("Mur de chaume (gabarit de pose, à démolir)",Détail!$B$5:$B$31,0)),0)</f>
        <v>0</v>
      </c>
      <c r="F32" s="7" t="n">
        <f aca="false">IFERROR(INDEX(Détail!$H$5:$H$31,MATCH("Mur de chaume (gabarit de pose, à démolir)",Détail!$B$5:$B$31,0)),0)</f>
        <v>0</v>
      </c>
      <c r="G32" s="7" t="n">
        <f aca="false">IFERROR(INDEX(Détail!$I$5:$I$31,MATCH("Mur de chaume (gabarit de pose, à démolir)",Détail!$B$5:$B$31,0)),0)</f>
        <v>0</v>
      </c>
      <c r="H32" s="7" t="n">
        <f aca="false">IFERROR(INDEX(Détail!$J$5:$J$31,MATCH("Mur de chaume (gabarit de pose, à démolir)",Détail!$B$5:$B$31,0)),0)</f>
        <v>0</v>
      </c>
      <c r="I32" s="7" t="n">
        <f aca="false">IFERROR(INDEX(Détail!$K$5:$K$31,MATCH("Mur de chaume (gabarit de pose, à démolir)",Détail!$B$5:$B$31,0)),0)</f>
        <v>0</v>
      </c>
      <c r="J32" s="7" t="n">
        <f aca="false">IFERROR(INDEX(Détail!$L$5:$L$31,MATCH("Mur de chaume (gabarit de pose, à démolir)",Détail!$B$5:$B$31,0)),0)</f>
        <v>0</v>
      </c>
      <c r="K32" s="7" t="n">
        <f aca="false">IFERROR(INDEX(Détail!$M$5:$M$31,MATCH("Mur de chaume (gabarit de pose, à démolir)",Détail!$B$5:$B$31,0)),0)</f>
        <v>0</v>
      </c>
      <c r="L32" s="7" t="n">
        <f aca="false">IFERROR(INDEX(Détail!$N$5:$N$31,MATCH("Mur de chaume (gabarit de pose, à démolir)",Détail!$B$5:$B$31,0)),0)</f>
        <v>0</v>
      </c>
      <c r="M32" s="7" t="n">
        <f aca="false">IFERROR(INDEX(Détail!$O$5:$O$31,MATCH("Mur de chaume (gabarit de pose, à démolir)",Détail!$B$5:$B$31,0)),0)</f>
        <v>4</v>
      </c>
      <c r="N32" s="7" t="n">
        <f aca="false">IFERROR(INDEX(Détail!$P$5:$P$31,MATCH("Mur de chaume (gabarit de pose, à démolir)",Détail!$B$5:$B$31,0)),0)</f>
        <v>7</v>
      </c>
      <c r="O32" s="7" t="n">
        <f aca="false">IFERROR(INDEX(Détail!$Q$5:$Q$31,MATCH("Mur de chaume (gabarit de pose, à démolir)",Détail!$B$5:$B$31,0)),0)</f>
        <v>4</v>
      </c>
      <c r="P32" s="7" t="n">
        <f aca="false">IFERROR(INDEX(Détail!$R$5:$R$31,MATCH("Mur de chaume (gabarit de pose, à démolir)",Détail!$B$5:$B$31,0)),0)</f>
        <v>0</v>
      </c>
      <c r="Q32" s="14" t="n">
        <f aca="false">$B32*C32</f>
        <v>0</v>
      </c>
      <c r="R32" s="14" t="n">
        <f aca="false">$B32*D32</f>
        <v>0</v>
      </c>
      <c r="S32" s="14" t="n">
        <f aca="false">$B32*E32</f>
        <v>0</v>
      </c>
      <c r="T32" s="14" t="n">
        <f aca="false">$B32*F32</f>
        <v>0</v>
      </c>
      <c r="U32" s="14" t="n">
        <f aca="false">$B32*G32</f>
        <v>0</v>
      </c>
      <c r="V32" s="14" t="n">
        <f aca="false">$B32*H32</f>
        <v>0</v>
      </c>
      <c r="W32" s="14" t="n">
        <f aca="false">$B32*I32</f>
        <v>0</v>
      </c>
      <c r="X32" s="14" t="n">
        <f aca="false">$B32*J32</f>
        <v>0</v>
      </c>
      <c r="Y32" s="14" t="n">
        <f aca="false">$B32*K32</f>
        <v>0</v>
      </c>
      <c r="Z32" s="14" t="n">
        <f aca="false">$B32*L32</f>
        <v>0</v>
      </c>
      <c r="AA32" s="14" t="n">
        <f aca="false">$B32*M32</f>
        <v>12</v>
      </c>
      <c r="AB32" s="14" t="n">
        <f aca="false">$B32*N32</f>
        <v>21</v>
      </c>
      <c r="AC32" s="14" t="n">
        <f aca="false">$B32*O32</f>
        <v>12</v>
      </c>
      <c r="AD32" s="14" t="n">
        <f aca="false">$B32*P32</f>
        <v>0</v>
      </c>
    </row>
    <row r="33" customFormat="false" ht="15" hidden="false" customHeight="false" outlineLevel="0" collapsed="false">
      <c r="A33" s="8" t="s">
        <v>99</v>
      </c>
      <c r="B33" s="9" t="n">
        <f aca="false">SUM(B29:B32)</f>
        <v>807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9" t="n">
        <f aca="false">SUM(Q29:Q32)</f>
        <v>10640</v>
      </c>
      <c r="R33" s="9" t="n">
        <f aca="false">SUM(R29:R32)</f>
        <v>3107</v>
      </c>
      <c r="S33" s="9" t="n">
        <f aca="false">SUM(S29:S32)</f>
        <v>0</v>
      </c>
      <c r="T33" s="9" t="n">
        <f aca="false">SUM(T29:T32)</f>
        <v>0</v>
      </c>
      <c r="U33" s="9" t="n">
        <f aca="false">SUM(U29:U32)</f>
        <v>0</v>
      </c>
      <c r="V33" s="9" t="n">
        <f aca="false">SUM(V29:V32)</f>
        <v>0</v>
      </c>
      <c r="W33" s="9" t="n">
        <f aca="false">SUM(W29:W32)</f>
        <v>0</v>
      </c>
      <c r="X33" s="9" t="n">
        <f aca="false">SUM(X29:X32)</f>
        <v>0</v>
      </c>
      <c r="Y33" s="9" t="n">
        <f aca="false">SUM(Y29:Y32)</f>
        <v>0</v>
      </c>
      <c r="Z33" s="9" t="n">
        <f aca="false">SUM(Z29:Z32)</f>
        <v>0</v>
      </c>
      <c r="AA33" s="9" t="n">
        <f aca="false">SUM(AA29:AA32)</f>
        <v>12</v>
      </c>
      <c r="AB33" s="9" t="n">
        <f aca="false">SUM(AB29:AB32)</f>
        <v>21</v>
      </c>
      <c r="AC33" s="9" t="n">
        <f aca="false">SUM(AC29:AC32)</f>
        <v>12</v>
      </c>
      <c r="AD33" s="9" t="n">
        <f aca="false">SUM(AD29:AD32)</f>
        <v>0</v>
      </c>
    </row>
    <row r="34" customFormat="false" ht="15" hidden="false" customHeight="false" outlineLevel="0" collapsed="false">
      <c r="A34" s="8" t="s">
        <v>36</v>
      </c>
      <c r="B34" s="9" t="n">
        <f aca="false">SUM(B29:B32)-SUMIF(A29:A32,"* (inventaire)",B29:B32)</f>
        <v>807</v>
      </c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9" t="n">
        <f aca="false">SUM(Q29:Q32)-SUMIF(A29:A32,"* (inventaire)",Q29:Q32)</f>
        <v>10640</v>
      </c>
      <c r="R34" s="9" t="n">
        <f aca="false">SUM(R29:R32)-SUMIF(A29:A32,"* (inventaire)",R29:R32)</f>
        <v>3107</v>
      </c>
      <c r="S34" s="9" t="n">
        <f aca="false">SUM(S29:S32)-SUMIF(A29:A32,"* (inventaire)",S29:S32)</f>
        <v>0</v>
      </c>
      <c r="T34" s="9" t="n">
        <f aca="false">SUM(T29:T32)-SUMIF(A29:A32,"* (inventaire)",T29:T32)</f>
        <v>0</v>
      </c>
      <c r="U34" s="9" t="n">
        <f aca="false">SUM(U29:U32)-SUMIF(A29:A32,"* (inventaire)",U29:U32)</f>
        <v>0</v>
      </c>
      <c r="V34" s="9" t="n">
        <f aca="false">SUM(V29:V32)-SUMIF(A29:A32,"* (inventaire)",V29:V32)</f>
        <v>0</v>
      </c>
      <c r="W34" s="9" t="n">
        <f aca="false">SUM(W29:W32)-SUMIF(A29:A32,"* (inventaire)",W29:W32)</f>
        <v>0</v>
      </c>
      <c r="X34" s="9" t="n">
        <f aca="false">SUM(X29:X32)-SUMIF(A29:A32,"* (inventaire)",X29:X32)</f>
        <v>0</v>
      </c>
      <c r="Y34" s="9" t="n">
        <f aca="false">SUM(Y29:Y32)-SUMIF(A29:A32,"* (inventaire)",Y29:Y32)</f>
        <v>0</v>
      </c>
      <c r="Z34" s="9" t="n">
        <f aca="false">SUM(Z29:Z32)-SUMIF(A29:A32,"* (inventaire)",Z29:Z32)</f>
        <v>0</v>
      </c>
      <c r="AA34" s="9" t="n">
        <f aca="false">SUM(AA29:AA32)-SUMIF(A29:A32,"* (inventaire)",AA29:AA32)</f>
        <v>12</v>
      </c>
      <c r="AB34" s="9" t="n">
        <f aca="false">SUM(AB29:AB32)-SUMIF(A29:A32,"* (inventaire)",AB29:AB32)</f>
        <v>21</v>
      </c>
      <c r="AC34" s="9" t="n">
        <f aca="false">SUM(AC29:AC32)-SUMIF(A29:A32,"* (inventaire)",AC29:AC32)</f>
        <v>12</v>
      </c>
      <c r="AD34" s="9" t="n">
        <f aca="false">SUM(AD29:AD32)-SUMIF(A29:A32,"* (inventaire)",AD29:AD32)</f>
        <v>0</v>
      </c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5" hidden="false" customHeight="false" outlineLevel="0" collapsed="false">
      <c r="A36" s="15" t="s">
        <v>112</v>
      </c>
      <c r="B36" s="2"/>
      <c r="C36" s="3" t="s">
        <v>113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30" hidden="false" customHeight="true" outlineLevel="0" collapsed="false">
      <c r="A37" s="11" t="s">
        <v>67</v>
      </c>
      <c r="B37" s="11" t="s">
        <v>68</v>
      </c>
      <c r="C37" s="11" t="s">
        <v>69</v>
      </c>
      <c r="D37" s="11" t="s">
        <v>70</v>
      </c>
      <c r="E37" s="11" t="s">
        <v>71</v>
      </c>
      <c r="F37" s="11" t="s">
        <v>72</v>
      </c>
      <c r="G37" s="11" t="s">
        <v>73</v>
      </c>
      <c r="H37" s="11" t="s">
        <v>74</v>
      </c>
      <c r="I37" s="11" t="s">
        <v>75</v>
      </c>
      <c r="J37" s="11" t="s">
        <v>76</v>
      </c>
      <c r="K37" s="11" t="s">
        <v>77</v>
      </c>
      <c r="L37" s="11" t="s">
        <v>78</v>
      </c>
      <c r="M37" s="11" t="s">
        <v>79</v>
      </c>
      <c r="N37" s="11" t="s">
        <v>80</v>
      </c>
      <c r="O37" s="11" t="s">
        <v>81</v>
      </c>
      <c r="P37" s="11" t="s">
        <v>82</v>
      </c>
      <c r="Q37" s="11" t="s">
        <v>83</v>
      </c>
      <c r="R37" s="11" t="s">
        <v>84</v>
      </c>
      <c r="S37" s="11" t="s">
        <v>85</v>
      </c>
      <c r="T37" s="11" t="s">
        <v>86</v>
      </c>
      <c r="U37" s="11" t="s">
        <v>87</v>
      </c>
      <c r="V37" s="11" t="s">
        <v>88</v>
      </c>
      <c r="W37" s="11" t="s">
        <v>89</v>
      </c>
      <c r="X37" s="11" t="s">
        <v>90</v>
      </c>
      <c r="Y37" s="11" t="s">
        <v>91</v>
      </c>
      <c r="Z37" s="11" t="s">
        <v>92</v>
      </c>
      <c r="AA37" s="11" t="s">
        <v>93</v>
      </c>
      <c r="AB37" s="11" t="s">
        <v>94</v>
      </c>
      <c r="AC37" s="11" t="s">
        <v>95</v>
      </c>
      <c r="AD37" s="11" t="s">
        <v>96</v>
      </c>
    </row>
    <row r="38" customFormat="false" ht="15" hidden="false" customHeight="false" outlineLevel="0" collapsed="false">
      <c r="A38" s="6" t="s">
        <v>114</v>
      </c>
      <c r="B38" s="16" t="n">
        <v>463</v>
      </c>
      <c r="C38" s="7" t="n">
        <f aca="false">IFERROR(INDEX(Détail!$E$5:$E$31,MATCH("Mur métal",Détail!$B$5:$B$31,0)),0)</f>
        <v>25</v>
      </c>
      <c r="D38" s="7" t="n">
        <f aca="false">IFERROR(INDEX(Détail!$F$5:$F$31,MATCH("Mur métal",Détail!$B$5:$B$31,0)),0)</f>
        <v>7</v>
      </c>
      <c r="E38" s="7" t="n">
        <f aca="false">IFERROR(INDEX(Détail!$G$5:$G$31,MATCH("Mur métal",Détail!$B$5:$B$31,0)),0)</f>
        <v>0</v>
      </c>
      <c r="F38" s="7" t="n">
        <f aca="false">IFERROR(INDEX(Détail!$H$5:$H$31,MATCH("Mur métal",Détail!$B$5:$B$31,0)),0)</f>
        <v>0</v>
      </c>
      <c r="G38" s="7" t="n">
        <f aca="false">IFERROR(INDEX(Détail!$I$5:$I$31,MATCH("Mur métal",Détail!$B$5:$B$31,0)),0)</f>
        <v>0</v>
      </c>
      <c r="H38" s="7" t="n">
        <f aca="false">IFERROR(INDEX(Détail!$J$5:$J$31,MATCH("Mur métal",Détail!$B$5:$B$31,0)),0)</f>
        <v>0</v>
      </c>
      <c r="I38" s="7" t="n">
        <f aca="false">IFERROR(INDEX(Détail!$K$5:$K$31,MATCH("Mur métal",Détail!$B$5:$B$31,0)),0)</f>
        <v>0</v>
      </c>
      <c r="J38" s="7" t="n">
        <f aca="false">IFERROR(INDEX(Détail!$L$5:$L$31,MATCH("Mur métal",Détail!$B$5:$B$31,0)),0)</f>
        <v>0</v>
      </c>
      <c r="K38" s="7" t="n">
        <f aca="false">IFERROR(INDEX(Détail!$M$5:$M$31,MATCH("Mur métal",Détail!$B$5:$B$31,0)),0)</f>
        <v>0</v>
      </c>
      <c r="L38" s="7" t="n">
        <f aca="false">IFERROR(INDEX(Détail!$N$5:$N$31,MATCH("Mur métal",Détail!$B$5:$B$31,0)),0)</f>
        <v>0</v>
      </c>
      <c r="M38" s="7" t="n">
        <f aca="false">IFERROR(INDEX(Détail!$O$5:$O$31,MATCH("Mur métal",Détail!$B$5:$B$31,0)),0)</f>
        <v>0</v>
      </c>
      <c r="N38" s="7" t="n">
        <f aca="false">IFERROR(INDEX(Détail!$P$5:$P$31,MATCH("Mur métal",Détail!$B$5:$B$31,0)),0)</f>
        <v>0</v>
      </c>
      <c r="O38" s="7" t="n">
        <f aca="false">IFERROR(INDEX(Détail!$Q$5:$Q$31,MATCH("Mur métal",Détail!$B$5:$B$31,0)),0)</f>
        <v>0</v>
      </c>
      <c r="P38" s="7" t="n">
        <f aca="false">IFERROR(INDEX(Détail!$R$5:$R$31,MATCH("Mur métal",Détail!$B$5:$B$31,0)),0)</f>
        <v>0</v>
      </c>
      <c r="Q38" s="14" t="n">
        <f aca="false">$B38*C38</f>
        <v>11575</v>
      </c>
      <c r="R38" s="14" t="n">
        <f aca="false">$B38*D38</f>
        <v>3241</v>
      </c>
      <c r="S38" s="14" t="n">
        <f aca="false">$B38*E38</f>
        <v>0</v>
      </c>
      <c r="T38" s="14" t="n">
        <f aca="false">$B38*F38</f>
        <v>0</v>
      </c>
      <c r="U38" s="14" t="n">
        <f aca="false">$B38*G38</f>
        <v>0</v>
      </c>
      <c r="V38" s="14" t="n">
        <f aca="false">$B38*H38</f>
        <v>0</v>
      </c>
      <c r="W38" s="14" t="n">
        <f aca="false">$B38*I38</f>
        <v>0</v>
      </c>
      <c r="X38" s="14" t="n">
        <f aca="false">$B38*J38</f>
        <v>0</v>
      </c>
      <c r="Y38" s="14" t="n">
        <f aca="false">$B38*K38</f>
        <v>0</v>
      </c>
      <c r="Z38" s="14" t="n">
        <f aca="false">$B38*L38</f>
        <v>0</v>
      </c>
      <c r="AA38" s="14" t="n">
        <f aca="false">$B38*M38</f>
        <v>0</v>
      </c>
      <c r="AB38" s="14" t="n">
        <f aca="false">$B38*N38</f>
        <v>0</v>
      </c>
      <c r="AC38" s="14" t="n">
        <f aca="false">$B38*O38</f>
        <v>0</v>
      </c>
      <c r="AD38" s="14" t="n">
        <f aca="false">$B38*P38</f>
        <v>0</v>
      </c>
    </row>
    <row r="39" customFormat="false" ht="15" hidden="false" customHeight="false" outlineLevel="0" collapsed="false">
      <c r="A39" s="6" t="s">
        <v>102</v>
      </c>
      <c r="B39" s="16" t="n">
        <v>216</v>
      </c>
      <c r="C39" s="7" t="n">
        <f aca="false">IFERROR(INDEX(Détail!$E$5:$E$31,MATCH("Pilier métal",Détail!$B$5:$B$31,0)),0)</f>
        <v>25</v>
      </c>
      <c r="D39" s="7" t="n">
        <f aca="false">IFERROR(INDEX(Détail!$F$5:$F$31,MATCH("Pilier métal",Détail!$B$5:$B$31,0)),0)</f>
        <v>7</v>
      </c>
      <c r="E39" s="7" t="n">
        <f aca="false">IFERROR(INDEX(Détail!$G$5:$G$31,MATCH("Pilier métal",Détail!$B$5:$B$31,0)),0)</f>
        <v>0</v>
      </c>
      <c r="F39" s="7" t="n">
        <f aca="false">IFERROR(INDEX(Détail!$H$5:$H$31,MATCH("Pilier métal",Détail!$B$5:$B$31,0)),0)</f>
        <v>0</v>
      </c>
      <c r="G39" s="7" t="n">
        <f aca="false">IFERROR(INDEX(Détail!$I$5:$I$31,MATCH("Pilier métal",Détail!$B$5:$B$31,0)),0)</f>
        <v>0</v>
      </c>
      <c r="H39" s="7" t="n">
        <f aca="false">IFERROR(INDEX(Détail!$J$5:$J$31,MATCH("Pilier métal",Détail!$B$5:$B$31,0)),0)</f>
        <v>0</v>
      </c>
      <c r="I39" s="7" t="n">
        <f aca="false">IFERROR(INDEX(Détail!$K$5:$K$31,MATCH("Pilier métal",Détail!$B$5:$B$31,0)),0)</f>
        <v>0</v>
      </c>
      <c r="J39" s="7" t="n">
        <f aca="false">IFERROR(INDEX(Détail!$L$5:$L$31,MATCH("Pilier métal",Détail!$B$5:$B$31,0)),0)</f>
        <v>0</v>
      </c>
      <c r="K39" s="7" t="n">
        <f aca="false">IFERROR(INDEX(Détail!$M$5:$M$31,MATCH("Pilier métal",Détail!$B$5:$B$31,0)),0)</f>
        <v>0</v>
      </c>
      <c r="L39" s="7" t="n">
        <f aca="false">IFERROR(INDEX(Détail!$N$5:$N$31,MATCH("Pilier métal",Détail!$B$5:$B$31,0)),0)</f>
        <v>0</v>
      </c>
      <c r="M39" s="7" t="n">
        <f aca="false">IFERROR(INDEX(Détail!$O$5:$O$31,MATCH("Pilier métal",Détail!$B$5:$B$31,0)),0)</f>
        <v>0</v>
      </c>
      <c r="N39" s="7" t="n">
        <f aca="false">IFERROR(INDEX(Détail!$P$5:$P$31,MATCH("Pilier métal",Détail!$B$5:$B$31,0)),0)</f>
        <v>0</v>
      </c>
      <c r="O39" s="7" t="n">
        <f aca="false">IFERROR(INDEX(Détail!$Q$5:$Q$31,MATCH("Pilier métal",Détail!$B$5:$B$31,0)),0)</f>
        <v>0</v>
      </c>
      <c r="P39" s="7" t="n">
        <f aca="false">IFERROR(INDEX(Détail!$R$5:$R$31,MATCH("Pilier métal",Détail!$B$5:$B$31,0)),0)</f>
        <v>0</v>
      </c>
      <c r="Q39" s="14" t="n">
        <f aca="false">$B39*C39</f>
        <v>5400</v>
      </c>
      <c r="R39" s="14" t="n">
        <f aca="false">$B39*D39</f>
        <v>1512</v>
      </c>
      <c r="S39" s="14" t="n">
        <f aca="false">$B39*E39</f>
        <v>0</v>
      </c>
      <c r="T39" s="14" t="n">
        <f aca="false">$B39*F39</f>
        <v>0</v>
      </c>
      <c r="U39" s="14" t="n">
        <f aca="false">$B39*G39</f>
        <v>0</v>
      </c>
      <c r="V39" s="14" t="n">
        <f aca="false">$B39*H39</f>
        <v>0</v>
      </c>
      <c r="W39" s="14" t="n">
        <f aca="false">$B39*I39</f>
        <v>0</v>
      </c>
      <c r="X39" s="14" t="n">
        <f aca="false">$B39*J39</f>
        <v>0</v>
      </c>
      <c r="Y39" s="14" t="n">
        <f aca="false">$B39*K39</f>
        <v>0</v>
      </c>
      <c r="Z39" s="14" t="n">
        <f aca="false">$B39*L39</f>
        <v>0</v>
      </c>
      <c r="AA39" s="14" t="n">
        <f aca="false">$B39*M39</f>
        <v>0</v>
      </c>
      <c r="AB39" s="14" t="n">
        <f aca="false">$B39*N39</f>
        <v>0</v>
      </c>
      <c r="AC39" s="14" t="n">
        <f aca="false">$B39*O39</f>
        <v>0</v>
      </c>
      <c r="AD39" s="14" t="n">
        <f aca="false">$B39*P39</f>
        <v>0</v>
      </c>
    </row>
    <row r="40" customFormat="false" ht="15" hidden="false" customHeight="false" outlineLevel="0" collapsed="false">
      <c r="A40" s="6" t="s">
        <v>115</v>
      </c>
      <c r="B40" s="16" t="n">
        <v>170</v>
      </c>
      <c r="C40" s="7" t="n">
        <f aca="false">IFERROR(INDEX(Détail!$E$5:$E$31,MATCH("Plafond triangle métal",Détail!$B$5:$B$31,0)),0)</f>
        <v>18</v>
      </c>
      <c r="D40" s="7" t="n">
        <f aca="false">IFERROR(INDEX(Détail!$F$5:$F$31,MATCH("Plafond triangle métal",Détail!$B$5:$B$31,0)),0)</f>
        <v>5</v>
      </c>
      <c r="E40" s="7" t="n">
        <f aca="false">IFERROR(INDEX(Détail!$G$5:$G$31,MATCH("Plafond triangle métal",Détail!$B$5:$B$31,0)),0)</f>
        <v>0</v>
      </c>
      <c r="F40" s="7" t="n">
        <f aca="false">IFERROR(INDEX(Détail!$H$5:$H$31,MATCH("Plafond triangle métal",Détail!$B$5:$B$31,0)),0)</f>
        <v>0</v>
      </c>
      <c r="G40" s="7" t="n">
        <f aca="false">IFERROR(INDEX(Détail!$I$5:$I$31,MATCH("Plafond triangle métal",Détail!$B$5:$B$31,0)),0)</f>
        <v>0</v>
      </c>
      <c r="H40" s="7" t="n">
        <f aca="false">IFERROR(INDEX(Détail!$J$5:$J$31,MATCH("Plafond triangle métal",Détail!$B$5:$B$31,0)),0)</f>
        <v>0</v>
      </c>
      <c r="I40" s="7" t="n">
        <f aca="false">IFERROR(INDEX(Détail!$K$5:$K$31,MATCH("Plafond triangle métal",Détail!$B$5:$B$31,0)),0)</f>
        <v>0</v>
      </c>
      <c r="J40" s="7" t="n">
        <f aca="false">IFERROR(INDEX(Détail!$L$5:$L$31,MATCH("Plafond triangle métal",Détail!$B$5:$B$31,0)),0)</f>
        <v>0</v>
      </c>
      <c r="K40" s="7" t="n">
        <f aca="false">IFERROR(INDEX(Détail!$M$5:$M$31,MATCH("Plafond triangle métal",Détail!$B$5:$B$31,0)),0)</f>
        <v>0</v>
      </c>
      <c r="L40" s="7" t="n">
        <f aca="false">IFERROR(INDEX(Détail!$N$5:$N$31,MATCH("Plafond triangle métal",Détail!$B$5:$B$31,0)),0)</f>
        <v>0</v>
      </c>
      <c r="M40" s="7" t="n">
        <f aca="false">IFERROR(INDEX(Détail!$O$5:$O$31,MATCH("Plafond triangle métal",Détail!$B$5:$B$31,0)),0)</f>
        <v>0</v>
      </c>
      <c r="N40" s="7" t="n">
        <f aca="false">IFERROR(INDEX(Détail!$P$5:$P$31,MATCH("Plafond triangle métal",Détail!$B$5:$B$31,0)),0)</f>
        <v>0</v>
      </c>
      <c r="O40" s="7" t="n">
        <f aca="false">IFERROR(INDEX(Détail!$Q$5:$Q$31,MATCH("Plafond triangle métal",Détail!$B$5:$B$31,0)),0)</f>
        <v>0</v>
      </c>
      <c r="P40" s="7" t="n">
        <f aca="false">IFERROR(INDEX(Détail!$R$5:$R$31,MATCH("Plafond triangle métal",Détail!$B$5:$B$31,0)),0)</f>
        <v>0</v>
      </c>
      <c r="Q40" s="14" t="n">
        <f aca="false">$B40*C40</f>
        <v>3060</v>
      </c>
      <c r="R40" s="14" t="n">
        <f aca="false">$B40*D40</f>
        <v>850</v>
      </c>
      <c r="S40" s="14" t="n">
        <f aca="false">$B40*E40</f>
        <v>0</v>
      </c>
      <c r="T40" s="14" t="n">
        <f aca="false">$B40*F40</f>
        <v>0</v>
      </c>
      <c r="U40" s="14" t="n">
        <f aca="false">$B40*G40</f>
        <v>0</v>
      </c>
      <c r="V40" s="14" t="n">
        <f aca="false">$B40*H40</f>
        <v>0</v>
      </c>
      <c r="W40" s="14" t="n">
        <f aca="false">$B40*I40</f>
        <v>0</v>
      </c>
      <c r="X40" s="14" t="n">
        <f aca="false">$B40*J40</f>
        <v>0</v>
      </c>
      <c r="Y40" s="14" t="n">
        <f aca="false">$B40*K40</f>
        <v>0</v>
      </c>
      <c r="Z40" s="14" t="n">
        <f aca="false">$B40*L40</f>
        <v>0</v>
      </c>
      <c r="AA40" s="14" t="n">
        <f aca="false">$B40*M40</f>
        <v>0</v>
      </c>
      <c r="AB40" s="14" t="n">
        <f aca="false">$B40*N40</f>
        <v>0</v>
      </c>
      <c r="AC40" s="14" t="n">
        <f aca="false">$B40*O40</f>
        <v>0</v>
      </c>
      <c r="AD40" s="14" t="n">
        <f aca="false">$B40*P40</f>
        <v>0</v>
      </c>
    </row>
    <row r="41" customFormat="false" ht="15" hidden="false" customHeight="false" outlineLevel="0" collapsed="false">
      <c r="A41" s="6" t="s">
        <v>116</v>
      </c>
      <c r="B41" s="16" t="n">
        <v>89</v>
      </c>
      <c r="C41" s="7" t="n">
        <f aca="false">IFERROR(INDEX(Détail!$E$5:$E$31,MATCH("Plafond métal",Détail!$B$5:$B$31,0)),0)</f>
        <v>35</v>
      </c>
      <c r="D41" s="7" t="n">
        <f aca="false">IFERROR(INDEX(Détail!$F$5:$F$31,MATCH("Plafond métal",Détail!$B$5:$B$31,0)),0)</f>
        <v>10</v>
      </c>
      <c r="E41" s="7" t="n">
        <f aca="false">IFERROR(INDEX(Détail!$G$5:$G$31,MATCH("Plafond métal",Détail!$B$5:$B$31,0)),0)</f>
        <v>0</v>
      </c>
      <c r="F41" s="7" t="n">
        <f aca="false">IFERROR(INDEX(Détail!$H$5:$H$31,MATCH("Plafond métal",Détail!$B$5:$B$31,0)),0)</f>
        <v>0</v>
      </c>
      <c r="G41" s="7" t="n">
        <f aca="false">IFERROR(INDEX(Détail!$I$5:$I$31,MATCH("Plafond métal",Détail!$B$5:$B$31,0)),0)</f>
        <v>0</v>
      </c>
      <c r="H41" s="7" t="n">
        <f aca="false">IFERROR(INDEX(Détail!$J$5:$J$31,MATCH("Plafond métal",Détail!$B$5:$B$31,0)),0)</f>
        <v>0</v>
      </c>
      <c r="I41" s="7" t="n">
        <f aca="false">IFERROR(INDEX(Détail!$K$5:$K$31,MATCH("Plafond métal",Détail!$B$5:$B$31,0)),0)</f>
        <v>0</v>
      </c>
      <c r="J41" s="7" t="n">
        <f aca="false">IFERROR(INDEX(Détail!$L$5:$L$31,MATCH("Plafond métal",Détail!$B$5:$B$31,0)),0)</f>
        <v>0</v>
      </c>
      <c r="K41" s="7" t="n">
        <f aca="false">IFERROR(INDEX(Détail!$M$5:$M$31,MATCH("Plafond métal",Détail!$B$5:$B$31,0)),0)</f>
        <v>0</v>
      </c>
      <c r="L41" s="7" t="n">
        <f aca="false">IFERROR(INDEX(Détail!$N$5:$N$31,MATCH("Plafond métal",Détail!$B$5:$B$31,0)),0)</f>
        <v>0</v>
      </c>
      <c r="M41" s="7" t="n">
        <f aca="false">IFERROR(INDEX(Détail!$O$5:$O$31,MATCH("Plafond métal",Détail!$B$5:$B$31,0)),0)</f>
        <v>0</v>
      </c>
      <c r="N41" s="7" t="n">
        <f aca="false">IFERROR(INDEX(Détail!$P$5:$P$31,MATCH("Plafond métal",Détail!$B$5:$B$31,0)),0)</f>
        <v>0</v>
      </c>
      <c r="O41" s="7" t="n">
        <f aca="false">IFERROR(INDEX(Détail!$Q$5:$Q$31,MATCH("Plafond métal",Détail!$B$5:$B$31,0)),0)</f>
        <v>0</v>
      </c>
      <c r="P41" s="7" t="n">
        <f aca="false">IFERROR(INDEX(Détail!$R$5:$R$31,MATCH("Plafond métal",Détail!$B$5:$B$31,0)),0)</f>
        <v>0</v>
      </c>
      <c r="Q41" s="14" t="n">
        <f aca="false">$B41*C41</f>
        <v>3115</v>
      </c>
      <c r="R41" s="14" t="n">
        <f aca="false">$B41*D41</f>
        <v>890</v>
      </c>
      <c r="S41" s="14" t="n">
        <f aca="false">$B41*E41</f>
        <v>0</v>
      </c>
      <c r="T41" s="14" t="n">
        <f aca="false">$B41*F41</f>
        <v>0</v>
      </c>
      <c r="U41" s="14" t="n">
        <f aca="false">$B41*G41</f>
        <v>0</v>
      </c>
      <c r="V41" s="14" t="n">
        <f aca="false">$B41*H41</f>
        <v>0</v>
      </c>
      <c r="W41" s="14" t="n">
        <f aca="false">$B41*I41</f>
        <v>0</v>
      </c>
      <c r="X41" s="14" t="n">
        <f aca="false">$B41*J41</f>
        <v>0</v>
      </c>
      <c r="Y41" s="14" t="n">
        <f aca="false">$B41*K41</f>
        <v>0</v>
      </c>
      <c r="Z41" s="14" t="n">
        <f aca="false">$B41*L41</f>
        <v>0</v>
      </c>
      <c r="AA41" s="14" t="n">
        <f aca="false">$B41*M41</f>
        <v>0</v>
      </c>
      <c r="AB41" s="14" t="n">
        <f aca="false">$B41*N41</f>
        <v>0</v>
      </c>
      <c r="AC41" s="14" t="n">
        <f aca="false">$B41*O41</f>
        <v>0</v>
      </c>
      <c r="AD41" s="14" t="n">
        <f aca="false">$B41*P41</f>
        <v>0</v>
      </c>
    </row>
    <row r="42" customFormat="false" ht="15" hidden="false" customHeight="false" outlineLevel="0" collapsed="false">
      <c r="A42" s="6" t="s">
        <v>106</v>
      </c>
      <c r="B42" s="16" t="n">
        <v>21</v>
      </c>
      <c r="C42" s="7" t="n">
        <f aca="false">IFERROR(INDEX(Détail!$E$5:$E$31,MATCH("Cadre de porte double métal",Détail!$B$5:$B$31,0)),0)</f>
        <v>25</v>
      </c>
      <c r="D42" s="7" t="n">
        <f aca="false">IFERROR(INDEX(Détail!$F$5:$F$31,MATCH("Cadre de porte double métal",Détail!$B$5:$B$31,0)),0)</f>
        <v>7</v>
      </c>
      <c r="E42" s="7" t="n">
        <f aca="false">IFERROR(INDEX(Détail!$G$5:$G$31,MATCH("Cadre de porte double métal",Détail!$B$5:$B$31,0)),0)</f>
        <v>0</v>
      </c>
      <c r="F42" s="7" t="n">
        <f aca="false">IFERROR(INDEX(Détail!$H$5:$H$31,MATCH("Cadre de porte double métal",Détail!$B$5:$B$31,0)),0)</f>
        <v>0</v>
      </c>
      <c r="G42" s="7" t="n">
        <f aca="false">IFERROR(INDEX(Détail!$I$5:$I$31,MATCH("Cadre de porte double métal",Détail!$B$5:$B$31,0)),0)</f>
        <v>0</v>
      </c>
      <c r="H42" s="7" t="n">
        <f aca="false">IFERROR(INDEX(Détail!$J$5:$J$31,MATCH("Cadre de porte double métal",Détail!$B$5:$B$31,0)),0)</f>
        <v>0</v>
      </c>
      <c r="I42" s="7" t="n">
        <f aca="false">IFERROR(INDEX(Détail!$K$5:$K$31,MATCH("Cadre de porte double métal",Détail!$B$5:$B$31,0)),0)</f>
        <v>0</v>
      </c>
      <c r="J42" s="7" t="n">
        <f aca="false">IFERROR(INDEX(Détail!$L$5:$L$31,MATCH("Cadre de porte double métal",Détail!$B$5:$B$31,0)),0)</f>
        <v>0</v>
      </c>
      <c r="K42" s="7" t="n">
        <f aca="false">IFERROR(INDEX(Détail!$M$5:$M$31,MATCH("Cadre de porte double métal",Détail!$B$5:$B$31,0)),0)</f>
        <v>0</v>
      </c>
      <c r="L42" s="7" t="n">
        <f aca="false">IFERROR(INDEX(Détail!$N$5:$N$31,MATCH("Cadre de porte double métal",Détail!$B$5:$B$31,0)),0)</f>
        <v>0</v>
      </c>
      <c r="M42" s="7" t="n">
        <f aca="false">IFERROR(INDEX(Détail!$O$5:$O$31,MATCH("Cadre de porte double métal",Détail!$B$5:$B$31,0)),0)</f>
        <v>0</v>
      </c>
      <c r="N42" s="7" t="n">
        <f aca="false">IFERROR(INDEX(Détail!$P$5:$P$31,MATCH("Cadre de porte double métal",Détail!$B$5:$B$31,0)),0)</f>
        <v>0</v>
      </c>
      <c r="O42" s="7" t="n">
        <f aca="false">IFERROR(INDEX(Détail!$Q$5:$Q$31,MATCH("Cadre de porte double métal",Détail!$B$5:$B$31,0)),0)</f>
        <v>0</v>
      </c>
      <c r="P42" s="7" t="n">
        <f aca="false">IFERROR(INDEX(Détail!$R$5:$R$31,MATCH("Cadre de porte double métal",Détail!$B$5:$B$31,0)),0)</f>
        <v>0</v>
      </c>
      <c r="Q42" s="14" t="n">
        <f aca="false">$B42*C42</f>
        <v>525</v>
      </c>
      <c r="R42" s="14" t="n">
        <f aca="false">$B42*D42</f>
        <v>147</v>
      </c>
      <c r="S42" s="14" t="n">
        <f aca="false">$B42*E42</f>
        <v>0</v>
      </c>
      <c r="T42" s="14" t="n">
        <f aca="false">$B42*F42</f>
        <v>0</v>
      </c>
      <c r="U42" s="14" t="n">
        <f aca="false">$B42*G42</f>
        <v>0</v>
      </c>
      <c r="V42" s="14" t="n">
        <f aca="false">$B42*H42</f>
        <v>0</v>
      </c>
      <c r="W42" s="14" t="n">
        <f aca="false">$B42*I42</f>
        <v>0</v>
      </c>
      <c r="X42" s="14" t="n">
        <f aca="false">$B42*J42</f>
        <v>0</v>
      </c>
      <c r="Y42" s="14" t="n">
        <f aca="false">$B42*K42</f>
        <v>0</v>
      </c>
      <c r="Z42" s="14" t="n">
        <f aca="false">$B42*L42</f>
        <v>0</v>
      </c>
      <c r="AA42" s="14" t="n">
        <f aca="false">$B42*M42</f>
        <v>0</v>
      </c>
      <c r="AB42" s="14" t="n">
        <f aca="false">$B42*N42</f>
        <v>0</v>
      </c>
      <c r="AC42" s="14" t="n">
        <f aca="false">$B42*O42</f>
        <v>0</v>
      </c>
      <c r="AD42" s="14" t="n">
        <f aca="false">$B42*P42</f>
        <v>0</v>
      </c>
    </row>
    <row r="43" customFormat="false" ht="15" hidden="false" customHeight="false" outlineLevel="0" collapsed="false">
      <c r="A43" s="6" t="s">
        <v>109</v>
      </c>
      <c r="B43" s="16" t="n">
        <v>16</v>
      </c>
      <c r="C43" s="7" t="n">
        <f aca="false">IFERROR(INDEX(Détail!$E$5:$E$31,MATCH("Mur de chaume (gabarit de pose, à démolir)",Détail!$B$5:$B$31,0)),0)</f>
        <v>0</v>
      </c>
      <c r="D43" s="7" t="n">
        <f aca="false">IFERROR(INDEX(Détail!$F$5:$F$31,MATCH("Mur de chaume (gabarit de pose, à démolir)",Détail!$B$5:$B$31,0)),0)</f>
        <v>0</v>
      </c>
      <c r="E43" s="7" t="n">
        <f aca="false">IFERROR(INDEX(Détail!$G$5:$G$31,MATCH("Mur de chaume (gabarit de pose, à démolir)",Détail!$B$5:$B$31,0)),0)</f>
        <v>0</v>
      </c>
      <c r="F43" s="7" t="n">
        <f aca="false">IFERROR(INDEX(Détail!$H$5:$H$31,MATCH("Mur de chaume (gabarit de pose, à démolir)",Détail!$B$5:$B$31,0)),0)</f>
        <v>0</v>
      </c>
      <c r="G43" s="7" t="n">
        <f aca="false">IFERROR(INDEX(Détail!$I$5:$I$31,MATCH("Mur de chaume (gabarit de pose, à démolir)",Détail!$B$5:$B$31,0)),0)</f>
        <v>0</v>
      </c>
      <c r="H43" s="7" t="n">
        <f aca="false">IFERROR(INDEX(Détail!$J$5:$J$31,MATCH("Mur de chaume (gabarit de pose, à démolir)",Détail!$B$5:$B$31,0)),0)</f>
        <v>0</v>
      </c>
      <c r="I43" s="7" t="n">
        <f aca="false">IFERROR(INDEX(Détail!$K$5:$K$31,MATCH("Mur de chaume (gabarit de pose, à démolir)",Détail!$B$5:$B$31,0)),0)</f>
        <v>0</v>
      </c>
      <c r="J43" s="7" t="n">
        <f aca="false">IFERROR(INDEX(Détail!$L$5:$L$31,MATCH("Mur de chaume (gabarit de pose, à démolir)",Détail!$B$5:$B$31,0)),0)</f>
        <v>0</v>
      </c>
      <c r="K43" s="7" t="n">
        <f aca="false">IFERROR(INDEX(Détail!$M$5:$M$31,MATCH("Mur de chaume (gabarit de pose, à démolir)",Détail!$B$5:$B$31,0)),0)</f>
        <v>0</v>
      </c>
      <c r="L43" s="7" t="n">
        <f aca="false">IFERROR(INDEX(Détail!$N$5:$N$31,MATCH("Mur de chaume (gabarit de pose, à démolir)",Détail!$B$5:$B$31,0)),0)</f>
        <v>0</v>
      </c>
      <c r="M43" s="7" t="n">
        <f aca="false">IFERROR(INDEX(Détail!$O$5:$O$31,MATCH("Mur de chaume (gabarit de pose, à démolir)",Détail!$B$5:$B$31,0)),0)</f>
        <v>4</v>
      </c>
      <c r="N43" s="7" t="n">
        <f aca="false">IFERROR(INDEX(Détail!$P$5:$P$31,MATCH("Mur de chaume (gabarit de pose, à démolir)",Détail!$B$5:$B$31,0)),0)</f>
        <v>7</v>
      </c>
      <c r="O43" s="7" t="n">
        <f aca="false">IFERROR(INDEX(Détail!$Q$5:$Q$31,MATCH("Mur de chaume (gabarit de pose, à démolir)",Détail!$B$5:$B$31,0)),0)</f>
        <v>4</v>
      </c>
      <c r="P43" s="7" t="n">
        <f aca="false">IFERROR(INDEX(Détail!$R$5:$R$31,MATCH("Mur de chaume (gabarit de pose, à démolir)",Détail!$B$5:$B$31,0)),0)</f>
        <v>0</v>
      </c>
      <c r="Q43" s="14" t="n">
        <f aca="false">$B43*C43</f>
        <v>0</v>
      </c>
      <c r="R43" s="14" t="n">
        <f aca="false">$B43*D43</f>
        <v>0</v>
      </c>
      <c r="S43" s="14" t="n">
        <f aca="false">$B43*E43</f>
        <v>0</v>
      </c>
      <c r="T43" s="14" t="n">
        <f aca="false">$B43*F43</f>
        <v>0</v>
      </c>
      <c r="U43" s="14" t="n">
        <f aca="false">$B43*G43</f>
        <v>0</v>
      </c>
      <c r="V43" s="14" t="n">
        <f aca="false">$B43*H43</f>
        <v>0</v>
      </c>
      <c r="W43" s="14" t="n">
        <f aca="false">$B43*I43</f>
        <v>0</v>
      </c>
      <c r="X43" s="14" t="n">
        <f aca="false">$B43*J43</f>
        <v>0</v>
      </c>
      <c r="Y43" s="14" t="n">
        <f aca="false">$B43*K43</f>
        <v>0</v>
      </c>
      <c r="Z43" s="14" t="n">
        <f aca="false">$B43*L43</f>
        <v>0</v>
      </c>
      <c r="AA43" s="14" t="n">
        <f aca="false">$B43*M43</f>
        <v>64</v>
      </c>
      <c r="AB43" s="14" t="n">
        <f aca="false">$B43*N43</f>
        <v>112</v>
      </c>
      <c r="AC43" s="14" t="n">
        <f aca="false">$B43*O43</f>
        <v>64</v>
      </c>
      <c r="AD43" s="14" t="n">
        <f aca="false">$B43*P43</f>
        <v>0</v>
      </c>
    </row>
    <row r="44" customFormat="false" ht="15" hidden="false" customHeight="false" outlineLevel="0" collapsed="false">
      <c r="A44" s="6" t="s">
        <v>117</v>
      </c>
      <c r="B44" s="16" t="n">
        <v>6</v>
      </c>
      <c r="C44" s="7" t="n">
        <f aca="false">IFERROR(INDEX(Détail!$E$5:$E$31,MATCH("Escalier métal",Détail!$B$5:$B$31,0)),0)</f>
        <v>50</v>
      </c>
      <c r="D44" s="7" t="n">
        <f aca="false">IFERROR(INDEX(Détail!$F$5:$F$31,MATCH("Escalier métal",Détail!$B$5:$B$31,0)),0)</f>
        <v>15</v>
      </c>
      <c r="E44" s="7" t="n">
        <f aca="false">IFERROR(INDEX(Détail!$G$5:$G$31,MATCH("Escalier métal",Détail!$B$5:$B$31,0)),0)</f>
        <v>0</v>
      </c>
      <c r="F44" s="7" t="n">
        <f aca="false">IFERROR(INDEX(Détail!$H$5:$H$31,MATCH("Escalier métal",Détail!$B$5:$B$31,0)),0)</f>
        <v>0</v>
      </c>
      <c r="G44" s="7" t="n">
        <f aca="false">IFERROR(INDEX(Détail!$I$5:$I$31,MATCH("Escalier métal",Détail!$B$5:$B$31,0)),0)</f>
        <v>0</v>
      </c>
      <c r="H44" s="7" t="n">
        <f aca="false">IFERROR(INDEX(Détail!$J$5:$J$31,MATCH("Escalier métal",Détail!$B$5:$B$31,0)),0)</f>
        <v>0</v>
      </c>
      <c r="I44" s="7" t="n">
        <f aca="false">IFERROR(INDEX(Détail!$K$5:$K$31,MATCH("Escalier métal",Détail!$B$5:$B$31,0)),0)</f>
        <v>0</v>
      </c>
      <c r="J44" s="7" t="n">
        <f aca="false">IFERROR(INDEX(Détail!$L$5:$L$31,MATCH("Escalier métal",Détail!$B$5:$B$31,0)),0)</f>
        <v>0</v>
      </c>
      <c r="K44" s="7" t="n">
        <f aca="false">IFERROR(INDEX(Détail!$M$5:$M$31,MATCH("Escalier métal",Détail!$B$5:$B$31,0)),0)</f>
        <v>0</v>
      </c>
      <c r="L44" s="7" t="n">
        <f aca="false">IFERROR(INDEX(Détail!$N$5:$N$31,MATCH("Escalier métal",Détail!$B$5:$B$31,0)),0)</f>
        <v>0</v>
      </c>
      <c r="M44" s="7" t="n">
        <f aca="false">IFERROR(INDEX(Détail!$O$5:$O$31,MATCH("Escalier métal",Détail!$B$5:$B$31,0)),0)</f>
        <v>0</v>
      </c>
      <c r="N44" s="7" t="n">
        <f aca="false">IFERROR(INDEX(Détail!$P$5:$P$31,MATCH("Escalier métal",Détail!$B$5:$B$31,0)),0)</f>
        <v>0</v>
      </c>
      <c r="O44" s="7" t="n">
        <f aca="false">IFERROR(INDEX(Détail!$Q$5:$Q$31,MATCH("Escalier métal",Détail!$B$5:$B$31,0)),0)</f>
        <v>0</v>
      </c>
      <c r="P44" s="7" t="n">
        <f aca="false">IFERROR(INDEX(Détail!$R$5:$R$31,MATCH("Escalier métal",Détail!$B$5:$B$31,0)),0)</f>
        <v>0</v>
      </c>
      <c r="Q44" s="14" t="n">
        <f aca="false">$B44*C44</f>
        <v>300</v>
      </c>
      <c r="R44" s="14" t="n">
        <f aca="false">$B44*D44</f>
        <v>90</v>
      </c>
      <c r="S44" s="14" t="n">
        <f aca="false">$B44*E44</f>
        <v>0</v>
      </c>
      <c r="T44" s="14" t="n">
        <f aca="false">$B44*F44</f>
        <v>0</v>
      </c>
      <c r="U44" s="14" t="n">
        <f aca="false">$B44*G44</f>
        <v>0</v>
      </c>
      <c r="V44" s="14" t="n">
        <f aca="false">$B44*H44</f>
        <v>0</v>
      </c>
      <c r="W44" s="14" t="n">
        <f aca="false">$B44*I44</f>
        <v>0</v>
      </c>
      <c r="X44" s="14" t="n">
        <f aca="false">$B44*J44</f>
        <v>0</v>
      </c>
      <c r="Y44" s="14" t="n">
        <f aca="false">$B44*K44</f>
        <v>0</v>
      </c>
      <c r="Z44" s="14" t="n">
        <f aca="false">$B44*L44</f>
        <v>0</v>
      </c>
      <c r="AA44" s="14" t="n">
        <f aca="false">$B44*M44</f>
        <v>0</v>
      </c>
      <c r="AB44" s="14" t="n">
        <f aca="false">$B44*N44</f>
        <v>0</v>
      </c>
      <c r="AC44" s="14" t="n">
        <f aca="false">$B44*O44</f>
        <v>0</v>
      </c>
      <c r="AD44" s="14" t="n">
        <f aca="false">$B44*P44</f>
        <v>0</v>
      </c>
    </row>
    <row r="45" customFormat="false" ht="15" hidden="false" customHeight="false" outlineLevel="0" collapsed="false">
      <c r="A45" s="8" t="s">
        <v>99</v>
      </c>
      <c r="B45" s="9" t="n">
        <f aca="false">SUM(B38:B44)</f>
        <v>981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9" t="n">
        <f aca="false">SUM(Q38:Q44)</f>
        <v>23975</v>
      </c>
      <c r="R45" s="9" t="n">
        <f aca="false">SUM(R38:R44)</f>
        <v>6730</v>
      </c>
      <c r="S45" s="9" t="n">
        <f aca="false">SUM(S38:S44)</f>
        <v>0</v>
      </c>
      <c r="T45" s="9" t="n">
        <f aca="false">SUM(T38:T44)</f>
        <v>0</v>
      </c>
      <c r="U45" s="9" t="n">
        <f aca="false">SUM(U38:U44)</f>
        <v>0</v>
      </c>
      <c r="V45" s="9" t="n">
        <f aca="false">SUM(V38:V44)</f>
        <v>0</v>
      </c>
      <c r="W45" s="9" t="n">
        <f aca="false">SUM(W38:W44)</f>
        <v>0</v>
      </c>
      <c r="X45" s="9" t="n">
        <f aca="false">SUM(X38:X44)</f>
        <v>0</v>
      </c>
      <c r="Y45" s="9" t="n">
        <f aca="false">SUM(Y38:Y44)</f>
        <v>0</v>
      </c>
      <c r="Z45" s="9" t="n">
        <f aca="false">SUM(Z38:Z44)</f>
        <v>0</v>
      </c>
      <c r="AA45" s="9" t="n">
        <f aca="false">SUM(AA38:AA44)</f>
        <v>64</v>
      </c>
      <c r="AB45" s="9" t="n">
        <f aca="false">SUM(AB38:AB44)</f>
        <v>112</v>
      </c>
      <c r="AC45" s="9" t="n">
        <f aca="false">SUM(AC38:AC44)</f>
        <v>64</v>
      </c>
      <c r="AD45" s="9" t="n">
        <f aca="false">SUM(AD38:AD44)</f>
        <v>0</v>
      </c>
    </row>
    <row r="46" customFormat="false" ht="15" hidden="false" customHeight="false" outlineLevel="0" collapsed="false">
      <c r="A46" s="8" t="s">
        <v>36</v>
      </c>
      <c r="B46" s="9" t="n">
        <f aca="false">SUM(B38:B44)-SUMIF(A38:A44,"* (inventaire)",B38:B44)</f>
        <v>981</v>
      </c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9" t="n">
        <f aca="false">SUM(Q38:Q44)-SUMIF(A38:A44,"* (inventaire)",Q38:Q44)</f>
        <v>23975</v>
      </c>
      <c r="R46" s="9" t="n">
        <f aca="false">SUM(R38:R44)-SUMIF(A38:A44,"* (inventaire)",R38:R44)</f>
        <v>6730</v>
      </c>
      <c r="S46" s="9" t="n">
        <f aca="false">SUM(S38:S44)-SUMIF(A38:A44,"* (inventaire)",S38:S44)</f>
        <v>0</v>
      </c>
      <c r="T46" s="9" t="n">
        <f aca="false">SUM(T38:T44)-SUMIF(A38:A44,"* (inventaire)",T38:T44)</f>
        <v>0</v>
      </c>
      <c r="U46" s="9" t="n">
        <f aca="false">SUM(U38:U44)-SUMIF(A38:A44,"* (inventaire)",U38:U44)</f>
        <v>0</v>
      </c>
      <c r="V46" s="9" t="n">
        <f aca="false">SUM(V38:V44)-SUMIF(A38:A44,"* (inventaire)",V38:V44)</f>
        <v>0</v>
      </c>
      <c r="W46" s="9" t="n">
        <f aca="false">SUM(W38:W44)-SUMIF(A38:A44,"* (inventaire)",W38:W44)</f>
        <v>0</v>
      </c>
      <c r="X46" s="9" t="n">
        <f aca="false">SUM(X38:X44)-SUMIF(A38:A44,"* (inventaire)",X38:X44)</f>
        <v>0</v>
      </c>
      <c r="Y46" s="9" t="n">
        <f aca="false">SUM(Y38:Y44)-SUMIF(A38:A44,"* (inventaire)",Y38:Y44)</f>
        <v>0</v>
      </c>
      <c r="Z46" s="9" t="n">
        <f aca="false">SUM(Z38:Z44)-SUMIF(A38:A44,"* (inventaire)",Z38:Z44)</f>
        <v>0</v>
      </c>
      <c r="AA46" s="9" t="n">
        <f aca="false">SUM(AA38:AA44)-SUMIF(A38:A44,"* (inventaire)",AA38:AA44)</f>
        <v>64</v>
      </c>
      <c r="AB46" s="9" t="n">
        <f aca="false">SUM(AB38:AB44)-SUMIF(A38:A44,"* (inventaire)",AB38:AB44)</f>
        <v>112</v>
      </c>
      <c r="AC46" s="9" t="n">
        <f aca="false">SUM(AC38:AC44)-SUMIF(A38:A44,"* (inventaire)",AC38:AC44)</f>
        <v>64</v>
      </c>
      <c r="AD46" s="9" t="n">
        <f aca="false">SUM(AD38:AD44)-SUMIF(A38:A44,"* (inventaire)",AD38:AD44)</f>
        <v>0</v>
      </c>
    </row>
    <row r="47" customFormat="false" ht="1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5" hidden="false" customHeight="false" outlineLevel="0" collapsed="false">
      <c r="A48" s="15" t="s">
        <v>118</v>
      </c>
      <c r="B48" s="2"/>
      <c r="C48" s="3" t="s">
        <v>119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30" hidden="false" customHeight="true" outlineLevel="0" collapsed="false">
      <c r="A49" s="11" t="s">
        <v>67</v>
      </c>
      <c r="B49" s="11" t="s">
        <v>68</v>
      </c>
      <c r="C49" s="11" t="s">
        <v>69</v>
      </c>
      <c r="D49" s="11" t="s">
        <v>70</v>
      </c>
      <c r="E49" s="11" t="s">
        <v>71</v>
      </c>
      <c r="F49" s="11" t="s">
        <v>72</v>
      </c>
      <c r="G49" s="11" t="s">
        <v>73</v>
      </c>
      <c r="H49" s="11" t="s">
        <v>74</v>
      </c>
      <c r="I49" s="11" t="s">
        <v>75</v>
      </c>
      <c r="J49" s="11" t="s">
        <v>76</v>
      </c>
      <c r="K49" s="11" t="s">
        <v>77</v>
      </c>
      <c r="L49" s="11" t="s">
        <v>78</v>
      </c>
      <c r="M49" s="11" t="s">
        <v>79</v>
      </c>
      <c r="N49" s="11" t="s">
        <v>80</v>
      </c>
      <c r="O49" s="11" t="s">
        <v>81</v>
      </c>
      <c r="P49" s="11" t="s">
        <v>82</v>
      </c>
      <c r="Q49" s="11" t="s">
        <v>83</v>
      </c>
      <c r="R49" s="11" t="s">
        <v>84</v>
      </c>
      <c r="S49" s="11" t="s">
        <v>85</v>
      </c>
      <c r="T49" s="11" t="s">
        <v>86</v>
      </c>
      <c r="U49" s="11" t="s">
        <v>87</v>
      </c>
      <c r="V49" s="11" t="s">
        <v>88</v>
      </c>
      <c r="W49" s="11" t="s">
        <v>89</v>
      </c>
      <c r="X49" s="11" t="s">
        <v>90</v>
      </c>
      <c r="Y49" s="11" t="s">
        <v>91</v>
      </c>
      <c r="Z49" s="11" t="s">
        <v>92</v>
      </c>
      <c r="AA49" s="11" t="s">
        <v>93</v>
      </c>
      <c r="AB49" s="11" t="s">
        <v>94</v>
      </c>
      <c r="AC49" s="11" t="s">
        <v>95</v>
      </c>
      <c r="AD49" s="11" t="s">
        <v>96</v>
      </c>
    </row>
    <row r="50" customFormat="false" ht="15" hidden="false" customHeight="false" outlineLevel="0" collapsed="false">
      <c r="A50" s="6" t="s">
        <v>106</v>
      </c>
      <c r="B50" s="16" t="n">
        <v>423</v>
      </c>
      <c r="C50" s="7" t="n">
        <f aca="false">IFERROR(INDEX(Détail!$E$5:$E$31,MATCH("Cadre de porte double métal",Détail!$B$5:$B$31,0)),0)</f>
        <v>25</v>
      </c>
      <c r="D50" s="7" t="n">
        <f aca="false">IFERROR(INDEX(Détail!$F$5:$F$31,MATCH("Cadre de porte double métal",Détail!$B$5:$B$31,0)),0)</f>
        <v>7</v>
      </c>
      <c r="E50" s="7" t="n">
        <f aca="false">IFERROR(INDEX(Détail!$G$5:$G$31,MATCH("Cadre de porte double métal",Détail!$B$5:$B$31,0)),0)</f>
        <v>0</v>
      </c>
      <c r="F50" s="7" t="n">
        <f aca="false">IFERROR(INDEX(Détail!$H$5:$H$31,MATCH("Cadre de porte double métal",Détail!$B$5:$B$31,0)),0)</f>
        <v>0</v>
      </c>
      <c r="G50" s="7" t="n">
        <f aca="false">IFERROR(INDEX(Détail!$I$5:$I$31,MATCH("Cadre de porte double métal",Détail!$B$5:$B$31,0)),0)</f>
        <v>0</v>
      </c>
      <c r="H50" s="7" t="n">
        <f aca="false">IFERROR(INDEX(Détail!$J$5:$J$31,MATCH("Cadre de porte double métal",Détail!$B$5:$B$31,0)),0)</f>
        <v>0</v>
      </c>
      <c r="I50" s="7" t="n">
        <f aca="false">IFERROR(INDEX(Détail!$K$5:$K$31,MATCH("Cadre de porte double métal",Détail!$B$5:$B$31,0)),0)</f>
        <v>0</v>
      </c>
      <c r="J50" s="7" t="n">
        <f aca="false">IFERROR(INDEX(Détail!$L$5:$L$31,MATCH("Cadre de porte double métal",Détail!$B$5:$B$31,0)),0)</f>
        <v>0</v>
      </c>
      <c r="K50" s="7" t="n">
        <f aca="false">IFERROR(INDEX(Détail!$M$5:$M$31,MATCH("Cadre de porte double métal",Détail!$B$5:$B$31,0)),0)</f>
        <v>0</v>
      </c>
      <c r="L50" s="7" t="n">
        <f aca="false">IFERROR(INDEX(Détail!$N$5:$N$31,MATCH("Cadre de porte double métal",Détail!$B$5:$B$31,0)),0)</f>
        <v>0</v>
      </c>
      <c r="M50" s="7" t="n">
        <f aca="false">IFERROR(INDEX(Détail!$O$5:$O$31,MATCH("Cadre de porte double métal",Détail!$B$5:$B$31,0)),0)</f>
        <v>0</v>
      </c>
      <c r="N50" s="7" t="n">
        <f aca="false">IFERROR(INDEX(Détail!$P$5:$P$31,MATCH("Cadre de porte double métal",Détail!$B$5:$B$31,0)),0)</f>
        <v>0</v>
      </c>
      <c r="O50" s="7" t="n">
        <f aca="false">IFERROR(INDEX(Détail!$Q$5:$Q$31,MATCH("Cadre de porte double métal",Détail!$B$5:$B$31,0)),0)</f>
        <v>0</v>
      </c>
      <c r="P50" s="7" t="n">
        <f aca="false">IFERROR(INDEX(Détail!$R$5:$R$31,MATCH("Cadre de porte double métal",Détail!$B$5:$B$31,0)),0)</f>
        <v>0</v>
      </c>
      <c r="Q50" s="14" t="n">
        <f aca="false">$B50*C50</f>
        <v>10575</v>
      </c>
      <c r="R50" s="14" t="n">
        <f aca="false">$B50*D50</f>
        <v>2961</v>
      </c>
      <c r="S50" s="14" t="n">
        <f aca="false">$B50*E50</f>
        <v>0</v>
      </c>
      <c r="T50" s="14" t="n">
        <f aca="false">$B50*F50</f>
        <v>0</v>
      </c>
      <c r="U50" s="14" t="n">
        <f aca="false">$B50*G50</f>
        <v>0</v>
      </c>
      <c r="V50" s="14" t="n">
        <f aca="false">$B50*H50</f>
        <v>0</v>
      </c>
      <c r="W50" s="14" t="n">
        <f aca="false">$B50*I50</f>
        <v>0</v>
      </c>
      <c r="X50" s="14" t="n">
        <f aca="false">$B50*J50</f>
        <v>0</v>
      </c>
      <c r="Y50" s="14" t="n">
        <f aca="false">$B50*K50</f>
        <v>0</v>
      </c>
      <c r="Z50" s="14" t="n">
        <f aca="false">$B50*L50</f>
        <v>0</v>
      </c>
      <c r="AA50" s="14" t="n">
        <f aca="false">$B50*M50</f>
        <v>0</v>
      </c>
      <c r="AB50" s="14" t="n">
        <f aca="false">$B50*N50</f>
        <v>0</v>
      </c>
      <c r="AC50" s="14" t="n">
        <f aca="false">$B50*O50</f>
        <v>0</v>
      </c>
      <c r="AD50" s="14" t="n">
        <f aca="false">$B50*P50</f>
        <v>0</v>
      </c>
    </row>
    <row r="51" customFormat="false" ht="15" hidden="false" customHeight="false" outlineLevel="0" collapsed="false">
      <c r="A51" s="6" t="s">
        <v>115</v>
      </c>
      <c r="B51" s="16" t="n">
        <v>285</v>
      </c>
      <c r="C51" s="7" t="n">
        <f aca="false">IFERROR(INDEX(Détail!$E$5:$E$31,MATCH("Plafond triangle métal",Détail!$B$5:$B$31,0)),0)</f>
        <v>18</v>
      </c>
      <c r="D51" s="7" t="n">
        <f aca="false">IFERROR(INDEX(Détail!$F$5:$F$31,MATCH("Plafond triangle métal",Détail!$B$5:$B$31,0)),0)</f>
        <v>5</v>
      </c>
      <c r="E51" s="7" t="n">
        <f aca="false">IFERROR(INDEX(Détail!$G$5:$G$31,MATCH("Plafond triangle métal",Détail!$B$5:$B$31,0)),0)</f>
        <v>0</v>
      </c>
      <c r="F51" s="7" t="n">
        <f aca="false">IFERROR(INDEX(Détail!$H$5:$H$31,MATCH("Plafond triangle métal",Détail!$B$5:$B$31,0)),0)</f>
        <v>0</v>
      </c>
      <c r="G51" s="7" t="n">
        <f aca="false">IFERROR(INDEX(Détail!$I$5:$I$31,MATCH("Plafond triangle métal",Détail!$B$5:$B$31,0)),0)</f>
        <v>0</v>
      </c>
      <c r="H51" s="7" t="n">
        <f aca="false">IFERROR(INDEX(Détail!$J$5:$J$31,MATCH("Plafond triangle métal",Détail!$B$5:$B$31,0)),0)</f>
        <v>0</v>
      </c>
      <c r="I51" s="7" t="n">
        <f aca="false">IFERROR(INDEX(Détail!$K$5:$K$31,MATCH("Plafond triangle métal",Détail!$B$5:$B$31,0)),0)</f>
        <v>0</v>
      </c>
      <c r="J51" s="7" t="n">
        <f aca="false">IFERROR(INDEX(Détail!$L$5:$L$31,MATCH("Plafond triangle métal",Détail!$B$5:$B$31,0)),0)</f>
        <v>0</v>
      </c>
      <c r="K51" s="7" t="n">
        <f aca="false">IFERROR(INDEX(Détail!$M$5:$M$31,MATCH("Plafond triangle métal",Détail!$B$5:$B$31,0)),0)</f>
        <v>0</v>
      </c>
      <c r="L51" s="7" t="n">
        <f aca="false">IFERROR(INDEX(Détail!$N$5:$N$31,MATCH("Plafond triangle métal",Détail!$B$5:$B$31,0)),0)</f>
        <v>0</v>
      </c>
      <c r="M51" s="7" t="n">
        <f aca="false">IFERROR(INDEX(Détail!$O$5:$O$31,MATCH("Plafond triangle métal",Détail!$B$5:$B$31,0)),0)</f>
        <v>0</v>
      </c>
      <c r="N51" s="7" t="n">
        <f aca="false">IFERROR(INDEX(Détail!$P$5:$P$31,MATCH("Plafond triangle métal",Détail!$B$5:$B$31,0)),0)</f>
        <v>0</v>
      </c>
      <c r="O51" s="7" t="n">
        <f aca="false">IFERROR(INDEX(Détail!$Q$5:$Q$31,MATCH("Plafond triangle métal",Détail!$B$5:$B$31,0)),0)</f>
        <v>0</v>
      </c>
      <c r="P51" s="7" t="n">
        <f aca="false">IFERROR(INDEX(Détail!$R$5:$R$31,MATCH("Plafond triangle métal",Détail!$B$5:$B$31,0)),0)</f>
        <v>0</v>
      </c>
      <c r="Q51" s="14" t="n">
        <f aca="false">$B51*C51</f>
        <v>5130</v>
      </c>
      <c r="R51" s="14" t="n">
        <f aca="false">$B51*D51</f>
        <v>1425</v>
      </c>
      <c r="S51" s="14" t="n">
        <f aca="false">$B51*E51</f>
        <v>0</v>
      </c>
      <c r="T51" s="14" t="n">
        <f aca="false">$B51*F51</f>
        <v>0</v>
      </c>
      <c r="U51" s="14" t="n">
        <f aca="false">$B51*G51</f>
        <v>0</v>
      </c>
      <c r="V51" s="14" t="n">
        <f aca="false">$B51*H51</f>
        <v>0</v>
      </c>
      <c r="W51" s="14" t="n">
        <f aca="false">$B51*I51</f>
        <v>0</v>
      </c>
      <c r="X51" s="14" t="n">
        <f aca="false">$B51*J51</f>
        <v>0</v>
      </c>
      <c r="Y51" s="14" t="n">
        <f aca="false">$B51*K51</f>
        <v>0</v>
      </c>
      <c r="Z51" s="14" t="n">
        <f aca="false">$B51*L51</f>
        <v>0</v>
      </c>
      <c r="AA51" s="14" t="n">
        <f aca="false">$B51*M51</f>
        <v>0</v>
      </c>
      <c r="AB51" s="14" t="n">
        <f aca="false">$B51*N51</f>
        <v>0</v>
      </c>
      <c r="AC51" s="14" t="n">
        <f aca="false">$B51*O51</f>
        <v>0</v>
      </c>
      <c r="AD51" s="14" t="n">
        <f aca="false">$B51*P51</f>
        <v>0</v>
      </c>
    </row>
    <row r="52" customFormat="false" ht="15" hidden="false" customHeight="false" outlineLevel="0" collapsed="false">
      <c r="A52" s="6" t="s">
        <v>116</v>
      </c>
      <c r="B52" s="16" t="n">
        <v>136</v>
      </c>
      <c r="C52" s="7" t="n">
        <f aca="false">IFERROR(INDEX(Détail!$E$5:$E$31,MATCH("Plafond métal",Détail!$B$5:$B$31,0)),0)</f>
        <v>35</v>
      </c>
      <c r="D52" s="7" t="n">
        <f aca="false">IFERROR(INDEX(Détail!$F$5:$F$31,MATCH("Plafond métal",Détail!$B$5:$B$31,0)),0)</f>
        <v>10</v>
      </c>
      <c r="E52" s="7" t="n">
        <f aca="false">IFERROR(INDEX(Détail!$G$5:$G$31,MATCH("Plafond métal",Détail!$B$5:$B$31,0)),0)</f>
        <v>0</v>
      </c>
      <c r="F52" s="7" t="n">
        <f aca="false">IFERROR(INDEX(Détail!$H$5:$H$31,MATCH("Plafond métal",Détail!$B$5:$B$31,0)),0)</f>
        <v>0</v>
      </c>
      <c r="G52" s="7" t="n">
        <f aca="false">IFERROR(INDEX(Détail!$I$5:$I$31,MATCH("Plafond métal",Détail!$B$5:$B$31,0)),0)</f>
        <v>0</v>
      </c>
      <c r="H52" s="7" t="n">
        <f aca="false">IFERROR(INDEX(Détail!$J$5:$J$31,MATCH("Plafond métal",Détail!$B$5:$B$31,0)),0)</f>
        <v>0</v>
      </c>
      <c r="I52" s="7" t="n">
        <f aca="false">IFERROR(INDEX(Détail!$K$5:$K$31,MATCH("Plafond métal",Détail!$B$5:$B$31,0)),0)</f>
        <v>0</v>
      </c>
      <c r="J52" s="7" t="n">
        <f aca="false">IFERROR(INDEX(Détail!$L$5:$L$31,MATCH("Plafond métal",Détail!$B$5:$B$31,0)),0)</f>
        <v>0</v>
      </c>
      <c r="K52" s="7" t="n">
        <f aca="false">IFERROR(INDEX(Détail!$M$5:$M$31,MATCH("Plafond métal",Détail!$B$5:$B$31,0)),0)</f>
        <v>0</v>
      </c>
      <c r="L52" s="7" t="n">
        <f aca="false">IFERROR(INDEX(Détail!$N$5:$N$31,MATCH("Plafond métal",Détail!$B$5:$B$31,0)),0)</f>
        <v>0</v>
      </c>
      <c r="M52" s="7" t="n">
        <f aca="false">IFERROR(INDEX(Détail!$O$5:$O$31,MATCH("Plafond métal",Détail!$B$5:$B$31,0)),0)</f>
        <v>0</v>
      </c>
      <c r="N52" s="7" t="n">
        <f aca="false">IFERROR(INDEX(Détail!$P$5:$P$31,MATCH("Plafond métal",Détail!$B$5:$B$31,0)),0)</f>
        <v>0</v>
      </c>
      <c r="O52" s="7" t="n">
        <f aca="false">IFERROR(INDEX(Détail!$Q$5:$Q$31,MATCH("Plafond métal",Détail!$B$5:$B$31,0)),0)</f>
        <v>0</v>
      </c>
      <c r="P52" s="7" t="n">
        <f aca="false">IFERROR(INDEX(Détail!$R$5:$R$31,MATCH("Plafond métal",Détail!$B$5:$B$31,0)),0)</f>
        <v>0</v>
      </c>
      <c r="Q52" s="14" t="n">
        <f aca="false">$B52*C52</f>
        <v>4760</v>
      </c>
      <c r="R52" s="14" t="n">
        <f aca="false">$B52*D52</f>
        <v>1360</v>
      </c>
      <c r="S52" s="14" t="n">
        <f aca="false">$B52*E52</f>
        <v>0</v>
      </c>
      <c r="T52" s="14" t="n">
        <f aca="false">$B52*F52</f>
        <v>0</v>
      </c>
      <c r="U52" s="14" t="n">
        <f aca="false">$B52*G52</f>
        <v>0</v>
      </c>
      <c r="V52" s="14" t="n">
        <f aca="false">$B52*H52</f>
        <v>0</v>
      </c>
      <c r="W52" s="14" t="n">
        <f aca="false">$B52*I52</f>
        <v>0</v>
      </c>
      <c r="X52" s="14" t="n">
        <f aca="false">$B52*J52</f>
        <v>0</v>
      </c>
      <c r="Y52" s="14" t="n">
        <f aca="false">$B52*K52</f>
        <v>0</v>
      </c>
      <c r="Z52" s="14" t="n">
        <f aca="false">$B52*L52</f>
        <v>0</v>
      </c>
      <c r="AA52" s="14" t="n">
        <f aca="false">$B52*M52</f>
        <v>0</v>
      </c>
      <c r="AB52" s="14" t="n">
        <f aca="false">$B52*N52</f>
        <v>0</v>
      </c>
      <c r="AC52" s="14" t="n">
        <f aca="false">$B52*O52</f>
        <v>0</v>
      </c>
      <c r="AD52" s="14" t="n">
        <f aca="false">$B52*P52</f>
        <v>0</v>
      </c>
    </row>
    <row r="53" customFormat="false" ht="15" hidden="false" customHeight="false" outlineLevel="0" collapsed="false">
      <c r="A53" s="6" t="s">
        <v>105</v>
      </c>
      <c r="B53" s="16" t="n">
        <v>110</v>
      </c>
      <c r="C53" s="7" t="n">
        <f aca="false">IFERROR(INDEX(Détail!$E$5:$E$31,MATCH("Rampe inclinée métal (Sloped Railing)",Détail!$B$5:$B$31,0)),0)</f>
        <v>12</v>
      </c>
      <c r="D53" s="7" t="n">
        <f aca="false">IFERROR(INDEX(Détail!$F$5:$F$31,MATCH("Rampe inclinée métal (Sloped Railing)",Détail!$B$5:$B$31,0)),0)</f>
        <v>3</v>
      </c>
      <c r="E53" s="7" t="n">
        <f aca="false">IFERROR(INDEX(Détail!$G$5:$G$31,MATCH("Rampe inclinée métal (Sloped Railing)",Détail!$B$5:$B$31,0)),0)</f>
        <v>0</v>
      </c>
      <c r="F53" s="7" t="n">
        <f aca="false">IFERROR(INDEX(Détail!$H$5:$H$31,MATCH("Rampe inclinée métal (Sloped Railing)",Détail!$B$5:$B$31,0)),0)</f>
        <v>0</v>
      </c>
      <c r="G53" s="7" t="n">
        <f aca="false">IFERROR(INDEX(Détail!$I$5:$I$31,MATCH("Rampe inclinée métal (Sloped Railing)",Détail!$B$5:$B$31,0)),0)</f>
        <v>0</v>
      </c>
      <c r="H53" s="7" t="n">
        <f aca="false">IFERROR(INDEX(Détail!$J$5:$J$31,MATCH("Rampe inclinée métal (Sloped Railing)",Détail!$B$5:$B$31,0)),0)</f>
        <v>0</v>
      </c>
      <c r="I53" s="7" t="n">
        <f aca="false">IFERROR(INDEX(Détail!$K$5:$K$31,MATCH("Rampe inclinée métal (Sloped Railing)",Détail!$B$5:$B$31,0)),0)</f>
        <v>0</v>
      </c>
      <c r="J53" s="7" t="n">
        <f aca="false">IFERROR(INDEX(Détail!$L$5:$L$31,MATCH("Rampe inclinée métal (Sloped Railing)",Détail!$B$5:$B$31,0)),0)</f>
        <v>0</v>
      </c>
      <c r="K53" s="7" t="n">
        <f aca="false">IFERROR(INDEX(Détail!$M$5:$M$31,MATCH("Rampe inclinée métal (Sloped Railing)",Détail!$B$5:$B$31,0)),0)</f>
        <v>0</v>
      </c>
      <c r="L53" s="7" t="n">
        <f aca="false">IFERROR(INDEX(Détail!$N$5:$N$31,MATCH("Rampe inclinée métal (Sloped Railing)",Détail!$B$5:$B$31,0)),0)</f>
        <v>0</v>
      </c>
      <c r="M53" s="7" t="n">
        <f aca="false">IFERROR(INDEX(Détail!$O$5:$O$31,MATCH("Rampe inclinée métal (Sloped Railing)",Détail!$B$5:$B$31,0)),0)</f>
        <v>0</v>
      </c>
      <c r="N53" s="7" t="n">
        <f aca="false">IFERROR(INDEX(Détail!$P$5:$P$31,MATCH("Rampe inclinée métal (Sloped Railing)",Détail!$B$5:$B$31,0)),0)</f>
        <v>0</v>
      </c>
      <c r="O53" s="7" t="n">
        <f aca="false">IFERROR(INDEX(Détail!$Q$5:$Q$31,MATCH("Rampe inclinée métal (Sloped Railing)",Détail!$B$5:$B$31,0)),0)</f>
        <v>0</v>
      </c>
      <c r="P53" s="7" t="n">
        <f aca="false">IFERROR(INDEX(Détail!$R$5:$R$31,MATCH("Rampe inclinée métal (Sloped Railing)",Détail!$B$5:$B$31,0)),0)</f>
        <v>0</v>
      </c>
      <c r="Q53" s="14" t="n">
        <f aca="false">$B53*C53</f>
        <v>1320</v>
      </c>
      <c r="R53" s="14" t="n">
        <f aca="false">$B53*D53</f>
        <v>330</v>
      </c>
      <c r="S53" s="14" t="n">
        <f aca="false">$B53*E53</f>
        <v>0</v>
      </c>
      <c r="T53" s="14" t="n">
        <f aca="false">$B53*F53</f>
        <v>0</v>
      </c>
      <c r="U53" s="14" t="n">
        <f aca="false">$B53*G53</f>
        <v>0</v>
      </c>
      <c r="V53" s="14" t="n">
        <f aca="false">$B53*H53</f>
        <v>0</v>
      </c>
      <c r="W53" s="14" t="n">
        <f aca="false">$B53*I53</f>
        <v>0</v>
      </c>
      <c r="X53" s="14" t="n">
        <f aca="false">$B53*J53</f>
        <v>0</v>
      </c>
      <c r="Y53" s="14" t="n">
        <f aca="false">$B53*K53</f>
        <v>0</v>
      </c>
      <c r="Z53" s="14" t="n">
        <f aca="false">$B53*L53</f>
        <v>0</v>
      </c>
      <c r="AA53" s="14" t="n">
        <f aca="false">$B53*M53</f>
        <v>0</v>
      </c>
      <c r="AB53" s="14" t="n">
        <f aca="false">$B53*N53</f>
        <v>0</v>
      </c>
      <c r="AC53" s="14" t="n">
        <f aca="false">$B53*O53</f>
        <v>0</v>
      </c>
      <c r="AD53" s="14" t="n">
        <f aca="false">$B53*P53</f>
        <v>0</v>
      </c>
    </row>
    <row r="54" customFormat="false" ht="15" hidden="false" customHeight="false" outlineLevel="0" collapsed="false">
      <c r="A54" s="6" t="s">
        <v>107</v>
      </c>
      <c r="B54" s="16" t="n">
        <v>53</v>
      </c>
      <c r="C54" s="7" t="n">
        <f aca="false">IFERROR(INDEX(Détail!$E$5:$E$31,MATCH("Pilier fin métal (Thin Pillar)",Détail!$B$5:$B$31,0)),0)</f>
        <v>13</v>
      </c>
      <c r="D54" s="7" t="n">
        <f aca="false">IFERROR(INDEX(Détail!$F$5:$F$31,MATCH("Pilier fin métal (Thin Pillar)",Détail!$B$5:$B$31,0)),0)</f>
        <v>4</v>
      </c>
      <c r="E54" s="7" t="n">
        <f aca="false">IFERROR(INDEX(Détail!$G$5:$G$31,MATCH("Pilier fin métal (Thin Pillar)",Détail!$B$5:$B$31,0)),0)</f>
        <v>0</v>
      </c>
      <c r="F54" s="7" t="n">
        <f aca="false">IFERROR(INDEX(Détail!$H$5:$H$31,MATCH("Pilier fin métal (Thin Pillar)",Détail!$B$5:$B$31,0)),0)</f>
        <v>0</v>
      </c>
      <c r="G54" s="7" t="n">
        <f aca="false">IFERROR(INDEX(Détail!$I$5:$I$31,MATCH("Pilier fin métal (Thin Pillar)",Détail!$B$5:$B$31,0)),0)</f>
        <v>0</v>
      </c>
      <c r="H54" s="7" t="n">
        <f aca="false">IFERROR(INDEX(Détail!$J$5:$J$31,MATCH("Pilier fin métal (Thin Pillar)",Détail!$B$5:$B$31,0)),0)</f>
        <v>0</v>
      </c>
      <c r="I54" s="7" t="n">
        <f aca="false">IFERROR(INDEX(Détail!$K$5:$K$31,MATCH("Pilier fin métal (Thin Pillar)",Détail!$B$5:$B$31,0)),0)</f>
        <v>0</v>
      </c>
      <c r="J54" s="7" t="n">
        <f aca="false">IFERROR(INDEX(Détail!$L$5:$L$31,MATCH("Pilier fin métal (Thin Pillar)",Détail!$B$5:$B$31,0)),0)</f>
        <v>0</v>
      </c>
      <c r="K54" s="7" t="n">
        <f aca="false">IFERROR(INDEX(Détail!$M$5:$M$31,MATCH("Pilier fin métal (Thin Pillar)",Détail!$B$5:$B$31,0)),0)</f>
        <v>0</v>
      </c>
      <c r="L54" s="7" t="n">
        <f aca="false">IFERROR(INDEX(Détail!$N$5:$N$31,MATCH("Pilier fin métal (Thin Pillar)",Détail!$B$5:$B$31,0)),0)</f>
        <v>0</v>
      </c>
      <c r="M54" s="7" t="n">
        <f aca="false">IFERROR(INDEX(Détail!$O$5:$O$31,MATCH("Pilier fin métal (Thin Pillar)",Détail!$B$5:$B$31,0)),0)</f>
        <v>0</v>
      </c>
      <c r="N54" s="7" t="n">
        <f aca="false">IFERROR(INDEX(Détail!$P$5:$P$31,MATCH("Pilier fin métal (Thin Pillar)",Détail!$B$5:$B$31,0)),0)</f>
        <v>0</v>
      </c>
      <c r="O54" s="7" t="n">
        <f aca="false">IFERROR(INDEX(Détail!$Q$5:$Q$31,MATCH("Pilier fin métal (Thin Pillar)",Détail!$B$5:$B$31,0)),0)</f>
        <v>0</v>
      </c>
      <c r="P54" s="7" t="n">
        <f aca="false">IFERROR(INDEX(Détail!$R$5:$R$31,MATCH("Pilier fin métal (Thin Pillar)",Détail!$B$5:$B$31,0)),0)</f>
        <v>0</v>
      </c>
      <c r="Q54" s="14" t="n">
        <f aca="false">$B54*C54</f>
        <v>689</v>
      </c>
      <c r="R54" s="14" t="n">
        <f aca="false">$B54*D54</f>
        <v>212</v>
      </c>
      <c r="S54" s="14" t="n">
        <f aca="false">$B54*E54</f>
        <v>0</v>
      </c>
      <c r="T54" s="14" t="n">
        <f aca="false">$B54*F54</f>
        <v>0</v>
      </c>
      <c r="U54" s="14" t="n">
        <f aca="false">$B54*G54</f>
        <v>0</v>
      </c>
      <c r="V54" s="14" t="n">
        <f aca="false">$B54*H54</f>
        <v>0</v>
      </c>
      <c r="W54" s="14" t="n">
        <f aca="false">$B54*I54</f>
        <v>0</v>
      </c>
      <c r="X54" s="14" t="n">
        <f aca="false">$B54*J54</f>
        <v>0</v>
      </c>
      <c r="Y54" s="14" t="n">
        <f aca="false">$B54*K54</f>
        <v>0</v>
      </c>
      <c r="Z54" s="14" t="n">
        <f aca="false">$B54*L54</f>
        <v>0</v>
      </c>
      <c r="AA54" s="14" t="n">
        <f aca="false">$B54*M54</f>
        <v>0</v>
      </c>
      <c r="AB54" s="14" t="n">
        <f aca="false">$B54*N54</f>
        <v>0</v>
      </c>
      <c r="AC54" s="14" t="n">
        <f aca="false">$B54*O54</f>
        <v>0</v>
      </c>
      <c r="AD54" s="14" t="n">
        <f aca="false">$B54*P54</f>
        <v>0</v>
      </c>
    </row>
    <row r="55" customFormat="false" ht="15" hidden="false" customHeight="false" outlineLevel="0" collapsed="false">
      <c r="A55" s="6" t="s">
        <v>109</v>
      </c>
      <c r="B55" s="16" t="n">
        <v>33</v>
      </c>
      <c r="C55" s="7" t="n">
        <f aca="false">IFERROR(INDEX(Détail!$E$5:$E$31,MATCH("Mur de chaume (gabarit de pose, à démolir)",Détail!$B$5:$B$31,0)),0)</f>
        <v>0</v>
      </c>
      <c r="D55" s="7" t="n">
        <f aca="false">IFERROR(INDEX(Détail!$F$5:$F$31,MATCH("Mur de chaume (gabarit de pose, à démolir)",Détail!$B$5:$B$31,0)),0)</f>
        <v>0</v>
      </c>
      <c r="E55" s="7" t="n">
        <f aca="false">IFERROR(INDEX(Détail!$G$5:$G$31,MATCH("Mur de chaume (gabarit de pose, à démolir)",Détail!$B$5:$B$31,0)),0)</f>
        <v>0</v>
      </c>
      <c r="F55" s="7" t="n">
        <f aca="false">IFERROR(INDEX(Détail!$H$5:$H$31,MATCH("Mur de chaume (gabarit de pose, à démolir)",Détail!$B$5:$B$31,0)),0)</f>
        <v>0</v>
      </c>
      <c r="G55" s="7" t="n">
        <f aca="false">IFERROR(INDEX(Détail!$I$5:$I$31,MATCH("Mur de chaume (gabarit de pose, à démolir)",Détail!$B$5:$B$31,0)),0)</f>
        <v>0</v>
      </c>
      <c r="H55" s="7" t="n">
        <f aca="false">IFERROR(INDEX(Détail!$J$5:$J$31,MATCH("Mur de chaume (gabarit de pose, à démolir)",Détail!$B$5:$B$31,0)),0)</f>
        <v>0</v>
      </c>
      <c r="I55" s="7" t="n">
        <f aca="false">IFERROR(INDEX(Détail!$K$5:$K$31,MATCH("Mur de chaume (gabarit de pose, à démolir)",Détail!$B$5:$B$31,0)),0)</f>
        <v>0</v>
      </c>
      <c r="J55" s="7" t="n">
        <f aca="false">IFERROR(INDEX(Détail!$L$5:$L$31,MATCH("Mur de chaume (gabarit de pose, à démolir)",Détail!$B$5:$B$31,0)),0)</f>
        <v>0</v>
      </c>
      <c r="K55" s="7" t="n">
        <f aca="false">IFERROR(INDEX(Détail!$M$5:$M$31,MATCH("Mur de chaume (gabarit de pose, à démolir)",Détail!$B$5:$B$31,0)),0)</f>
        <v>0</v>
      </c>
      <c r="L55" s="7" t="n">
        <f aca="false">IFERROR(INDEX(Détail!$N$5:$N$31,MATCH("Mur de chaume (gabarit de pose, à démolir)",Détail!$B$5:$B$31,0)),0)</f>
        <v>0</v>
      </c>
      <c r="M55" s="7" t="n">
        <f aca="false">IFERROR(INDEX(Détail!$O$5:$O$31,MATCH("Mur de chaume (gabarit de pose, à démolir)",Détail!$B$5:$B$31,0)),0)</f>
        <v>4</v>
      </c>
      <c r="N55" s="7" t="n">
        <f aca="false">IFERROR(INDEX(Détail!$P$5:$P$31,MATCH("Mur de chaume (gabarit de pose, à démolir)",Détail!$B$5:$B$31,0)),0)</f>
        <v>7</v>
      </c>
      <c r="O55" s="7" t="n">
        <f aca="false">IFERROR(INDEX(Détail!$Q$5:$Q$31,MATCH("Mur de chaume (gabarit de pose, à démolir)",Détail!$B$5:$B$31,0)),0)</f>
        <v>4</v>
      </c>
      <c r="P55" s="7" t="n">
        <f aca="false">IFERROR(INDEX(Détail!$R$5:$R$31,MATCH("Mur de chaume (gabarit de pose, à démolir)",Détail!$B$5:$B$31,0)),0)</f>
        <v>0</v>
      </c>
      <c r="Q55" s="14" t="n">
        <f aca="false">$B55*C55</f>
        <v>0</v>
      </c>
      <c r="R55" s="14" t="n">
        <f aca="false">$B55*D55</f>
        <v>0</v>
      </c>
      <c r="S55" s="14" t="n">
        <f aca="false">$B55*E55</f>
        <v>0</v>
      </c>
      <c r="T55" s="14" t="n">
        <f aca="false">$B55*F55</f>
        <v>0</v>
      </c>
      <c r="U55" s="14" t="n">
        <f aca="false">$B55*G55</f>
        <v>0</v>
      </c>
      <c r="V55" s="14" t="n">
        <f aca="false">$B55*H55</f>
        <v>0</v>
      </c>
      <c r="W55" s="14" t="n">
        <f aca="false">$B55*I55</f>
        <v>0</v>
      </c>
      <c r="X55" s="14" t="n">
        <f aca="false">$B55*J55</f>
        <v>0</v>
      </c>
      <c r="Y55" s="14" t="n">
        <f aca="false">$B55*K55</f>
        <v>0</v>
      </c>
      <c r="Z55" s="14" t="n">
        <f aca="false">$B55*L55</f>
        <v>0</v>
      </c>
      <c r="AA55" s="14" t="n">
        <f aca="false">$B55*M55</f>
        <v>132</v>
      </c>
      <c r="AB55" s="14" t="n">
        <f aca="false">$B55*N55</f>
        <v>231</v>
      </c>
      <c r="AC55" s="14" t="n">
        <f aca="false">$B55*O55</f>
        <v>132</v>
      </c>
      <c r="AD55" s="14" t="n">
        <f aca="false">$B55*P55</f>
        <v>0</v>
      </c>
    </row>
    <row r="56" customFormat="false" ht="15" hidden="false" customHeight="false" outlineLevel="0" collapsed="false">
      <c r="A56" s="6" t="s">
        <v>120</v>
      </c>
      <c r="B56" s="16" t="n">
        <v>5</v>
      </c>
      <c r="C56" s="7" t="n">
        <f aca="false">IFERROR(INDEX(Détail!$E$5:$E$31,MATCH("Plafond à trappe métal",Détail!$B$5:$B$31,0)),0)</f>
        <v>35</v>
      </c>
      <c r="D56" s="7" t="n">
        <f aca="false">IFERROR(INDEX(Détail!$F$5:$F$31,MATCH("Plafond à trappe métal",Détail!$B$5:$B$31,0)),0)</f>
        <v>10</v>
      </c>
      <c r="E56" s="7" t="n">
        <f aca="false">IFERROR(INDEX(Détail!$G$5:$G$31,MATCH("Plafond à trappe métal",Détail!$B$5:$B$31,0)),0)</f>
        <v>0</v>
      </c>
      <c r="F56" s="7" t="n">
        <f aca="false">IFERROR(INDEX(Détail!$H$5:$H$31,MATCH("Plafond à trappe métal",Détail!$B$5:$B$31,0)),0)</f>
        <v>0</v>
      </c>
      <c r="G56" s="7" t="n">
        <f aca="false">IFERROR(INDEX(Détail!$I$5:$I$31,MATCH("Plafond à trappe métal",Détail!$B$5:$B$31,0)),0)</f>
        <v>0</v>
      </c>
      <c r="H56" s="7" t="n">
        <f aca="false">IFERROR(INDEX(Détail!$J$5:$J$31,MATCH("Plafond à trappe métal",Détail!$B$5:$B$31,0)),0)</f>
        <v>0</v>
      </c>
      <c r="I56" s="7" t="n">
        <f aca="false">IFERROR(INDEX(Détail!$K$5:$K$31,MATCH("Plafond à trappe métal",Détail!$B$5:$B$31,0)),0)</f>
        <v>0</v>
      </c>
      <c r="J56" s="7" t="n">
        <f aca="false">IFERROR(INDEX(Détail!$L$5:$L$31,MATCH("Plafond à trappe métal",Détail!$B$5:$B$31,0)),0)</f>
        <v>0</v>
      </c>
      <c r="K56" s="7" t="n">
        <f aca="false">IFERROR(INDEX(Détail!$M$5:$M$31,MATCH("Plafond à trappe métal",Détail!$B$5:$B$31,0)),0)</f>
        <v>0</v>
      </c>
      <c r="L56" s="7" t="n">
        <f aca="false">IFERROR(INDEX(Détail!$N$5:$N$31,MATCH("Plafond à trappe métal",Détail!$B$5:$B$31,0)),0)</f>
        <v>0</v>
      </c>
      <c r="M56" s="7" t="n">
        <f aca="false">IFERROR(INDEX(Détail!$O$5:$O$31,MATCH("Plafond à trappe métal",Détail!$B$5:$B$31,0)),0)</f>
        <v>0</v>
      </c>
      <c r="N56" s="7" t="n">
        <f aca="false">IFERROR(INDEX(Détail!$P$5:$P$31,MATCH("Plafond à trappe métal",Détail!$B$5:$B$31,0)),0)</f>
        <v>0</v>
      </c>
      <c r="O56" s="7" t="n">
        <f aca="false">IFERROR(INDEX(Détail!$Q$5:$Q$31,MATCH("Plafond à trappe métal",Détail!$B$5:$B$31,0)),0)</f>
        <v>0</v>
      </c>
      <c r="P56" s="7" t="n">
        <f aca="false">IFERROR(INDEX(Détail!$R$5:$R$31,MATCH("Plafond à trappe métal",Détail!$B$5:$B$31,0)),0)</f>
        <v>0</v>
      </c>
      <c r="Q56" s="14" t="n">
        <f aca="false">$B56*C56</f>
        <v>175</v>
      </c>
      <c r="R56" s="14" t="n">
        <f aca="false">$B56*D56</f>
        <v>50</v>
      </c>
      <c r="S56" s="14" t="n">
        <f aca="false">$B56*E56</f>
        <v>0</v>
      </c>
      <c r="T56" s="14" t="n">
        <f aca="false">$B56*F56</f>
        <v>0</v>
      </c>
      <c r="U56" s="14" t="n">
        <f aca="false">$B56*G56</f>
        <v>0</v>
      </c>
      <c r="V56" s="14" t="n">
        <f aca="false">$B56*H56</f>
        <v>0</v>
      </c>
      <c r="W56" s="14" t="n">
        <f aca="false">$B56*I56</f>
        <v>0</v>
      </c>
      <c r="X56" s="14" t="n">
        <f aca="false">$B56*J56</f>
        <v>0</v>
      </c>
      <c r="Y56" s="14" t="n">
        <f aca="false">$B56*K56</f>
        <v>0</v>
      </c>
      <c r="Z56" s="14" t="n">
        <f aca="false">$B56*L56</f>
        <v>0</v>
      </c>
      <c r="AA56" s="14" t="n">
        <f aca="false">$B56*M56</f>
        <v>0</v>
      </c>
      <c r="AB56" s="14" t="n">
        <f aca="false">$B56*N56</f>
        <v>0</v>
      </c>
      <c r="AC56" s="14" t="n">
        <f aca="false">$B56*O56</f>
        <v>0</v>
      </c>
      <c r="AD56" s="14" t="n">
        <f aca="false">$B56*P56</f>
        <v>0</v>
      </c>
    </row>
    <row r="57" customFormat="false" ht="15" hidden="false" customHeight="false" outlineLevel="0" collapsed="false">
      <c r="A57" s="8" t="s">
        <v>99</v>
      </c>
      <c r="B57" s="9" t="n">
        <f aca="false">SUM(B50:B56)</f>
        <v>1045</v>
      </c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9" t="n">
        <f aca="false">SUM(Q50:Q56)</f>
        <v>22649</v>
      </c>
      <c r="R57" s="9" t="n">
        <f aca="false">SUM(R50:R56)</f>
        <v>6338</v>
      </c>
      <c r="S57" s="9" t="n">
        <f aca="false">SUM(S50:S56)</f>
        <v>0</v>
      </c>
      <c r="T57" s="9" t="n">
        <f aca="false">SUM(T50:T56)</f>
        <v>0</v>
      </c>
      <c r="U57" s="9" t="n">
        <f aca="false">SUM(U50:U56)</f>
        <v>0</v>
      </c>
      <c r="V57" s="9" t="n">
        <f aca="false">SUM(V50:V56)</f>
        <v>0</v>
      </c>
      <c r="W57" s="9" t="n">
        <f aca="false">SUM(W50:W56)</f>
        <v>0</v>
      </c>
      <c r="X57" s="9" t="n">
        <f aca="false">SUM(X50:X56)</f>
        <v>0</v>
      </c>
      <c r="Y57" s="9" t="n">
        <f aca="false">SUM(Y50:Y56)</f>
        <v>0</v>
      </c>
      <c r="Z57" s="9" t="n">
        <f aca="false">SUM(Z50:Z56)</f>
        <v>0</v>
      </c>
      <c r="AA57" s="9" t="n">
        <f aca="false">SUM(AA50:AA56)</f>
        <v>132</v>
      </c>
      <c r="AB57" s="9" t="n">
        <f aca="false">SUM(AB50:AB56)</f>
        <v>231</v>
      </c>
      <c r="AC57" s="9" t="n">
        <f aca="false">SUM(AC50:AC56)</f>
        <v>132</v>
      </c>
      <c r="AD57" s="9" t="n">
        <f aca="false">SUM(AD50:AD56)</f>
        <v>0</v>
      </c>
    </row>
    <row r="58" customFormat="false" ht="15" hidden="false" customHeight="false" outlineLevel="0" collapsed="false">
      <c r="A58" s="8" t="s">
        <v>36</v>
      </c>
      <c r="B58" s="9" t="n">
        <f aca="false">SUM(B50:B56)-SUMIF(A50:A56,"* (inventaire)",B50:B56)</f>
        <v>1045</v>
      </c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9" t="n">
        <f aca="false">SUM(Q50:Q56)-SUMIF(A50:A56,"* (inventaire)",Q50:Q56)</f>
        <v>22649</v>
      </c>
      <c r="R58" s="9" t="n">
        <f aca="false">SUM(R50:R56)-SUMIF(A50:A56,"* (inventaire)",R50:R56)</f>
        <v>6338</v>
      </c>
      <c r="S58" s="9" t="n">
        <f aca="false">SUM(S50:S56)-SUMIF(A50:A56,"* (inventaire)",S50:S56)</f>
        <v>0</v>
      </c>
      <c r="T58" s="9" t="n">
        <f aca="false">SUM(T50:T56)-SUMIF(A50:A56,"* (inventaire)",T50:T56)</f>
        <v>0</v>
      </c>
      <c r="U58" s="9" t="n">
        <f aca="false">SUM(U50:U56)-SUMIF(A50:A56,"* (inventaire)",U50:U56)</f>
        <v>0</v>
      </c>
      <c r="V58" s="9" t="n">
        <f aca="false">SUM(V50:V56)-SUMIF(A50:A56,"* (inventaire)",V50:V56)</f>
        <v>0</v>
      </c>
      <c r="W58" s="9" t="n">
        <f aca="false">SUM(W50:W56)-SUMIF(A50:A56,"* (inventaire)",W50:W56)</f>
        <v>0</v>
      </c>
      <c r="X58" s="9" t="n">
        <f aca="false">SUM(X50:X56)-SUMIF(A50:A56,"* (inventaire)",X50:X56)</f>
        <v>0</v>
      </c>
      <c r="Y58" s="9" t="n">
        <f aca="false">SUM(Y50:Y56)-SUMIF(A50:A56,"* (inventaire)",Y50:Y56)</f>
        <v>0</v>
      </c>
      <c r="Z58" s="9" t="n">
        <f aca="false">SUM(Z50:Z56)-SUMIF(A50:A56,"* (inventaire)",Z50:Z56)</f>
        <v>0</v>
      </c>
      <c r="AA58" s="9" t="n">
        <f aca="false">SUM(AA50:AA56)-SUMIF(A50:A56,"* (inventaire)",AA50:AA56)</f>
        <v>132</v>
      </c>
      <c r="AB58" s="9" t="n">
        <f aca="false">SUM(AB50:AB56)-SUMIF(A50:A56,"* (inventaire)",AB50:AB56)</f>
        <v>231</v>
      </c>
      <c r="AC58" s="9" t="n">
        <f aca="false">SUM(AC50:AC56)-SUMIF(A50:A56,"* (inventaire)",AC50:AC56)</f>
        <v>132</v>
      </c>
      <c r="AD58" s="9" t="n">
        <f aca="false">SUM(AD50:AD56)-SUMIF(A50:A56,"* (inventaire)",AD50:AD56)</f>
        <v>0</v>
      </c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5" hidden="false" customHeight="false" outlineLevel="0" collapsed="false">
      <c r="A60" s="15" t="s">
        <v>121</v>
      </c>
      <c r="B60" s="2"/>
      <c r="C60" s="3" t="s">
        <v>122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30" hidden="false" customHeight="true" outlineLevel="0" collapsed="false">
      <c r="A61" s="11" t="s">
        <v>67</v>
      </c>
      <c r="B61" s="11" t="s">
        <v>68</v>
      </c>
      <c r="C61" s="11" t="s">
        <v>69</v>
      </c>
      <c r="D61" s="11" t="s">
        <v>70</v>
      </c>
      <c r="E61" s="11" t="s">
        <v>71</v>
      </c>
      <c r="F61" s="11" t="s">
        <v>72</v>
      </c>
      <c r="G61" s="11" t="s">
        <v>73</v>
      </c>
      <c r="H61" s="11" t="s">
        <v>74</v>
      </c>
      <c r="I61" s="11" t="s">
        <v>75</v>
      </c>
      <c r="J61" s="11" t="s">
        <v>76</v>
      </c>
      <c r="K61" s="11" t="s">
        <v>77</v>
      </c>
      <c r="L61" s="11" t="s">
        <v>78</v>
      </c>
      <c r="M61" s="11" t="s">
        <v>79</v>
      </c>
      <c r="N61" s="11" t="s">
        <v>80</v>
      </c>
      <c r="O61" s="11" t="s">
        <v>81</v>
      </c>
      <c r="P61" s="11" t="s">
        <v>82</v>
      </c>
      <c r="Q61" s="11" t="s">
        <v>83</v>
      </c>
      <c r="R61" s="11" t="s">
        <v>84</v>
      </c>
      <c r="S61" s="11" t="s">
        <v>85</v>
      </c>
      <c r="T61" s="11" t="s">
        <v>86</v>
      </c>
      <c r="U61" s="11" t="s">
        <v>87</v>
      </c>
      <c r="V61" s="11" t="s">
        <v>88</v>
      </c>
      <c r="W61" s="11" t="s">
        <v>89</v>
      </c>
      <c r="X61" s="11" t="s">
        <v>90</v>
      </c>
      <c r="Y61" s="11" t="s">
        <v>91</v>
      </c>
      <c r="Z61" s="11" t="s">
        <v>92</v>
      </c>
      <c r="AA61" s="11" t="s">
        <v>93</v>
      </c>
      <c r="AB61" s="11" t="s">
        <v>94</v>
      </c>
      <c r="AC61" s="11" t="s">
        <v>95</v>
      </c>
      <c r="AD61" s="11" t="s">
        <v>96</v>
      </c>
    </row>
    <row r="62" customFormat="false" ht="15" hidden="false" customHeight="false" outlineLevel="0" collapsed="false">
      <c r="A62" s="6" t="s">
        <v>123</v>
      </c>
      <c r="B62" s="16" t="n">
        <v>41</v>
      </c>
      <c r="C62" s="7" t="n">
        <f aca="false">IFERROR(INDEX(Détail!$E$5:$E$31,MATCH("Tourelle lourde (Heavy)",Détail!$B$5:$B$31,0)),0)</f>
        <v>540</v>
      </c>
      <c r="D62" s="7" t="n">
        <f aca="false">IFERROR(INDEX(Détail!$F$5:$F$31,MATCH("Tourelle lourde (Heavy)",Détail!$B$5:$B$31,0)),0)</f>
        <v>200</v>
      </c>
      <c r="E62" s="7" t="n">
        <f aca="false">IFERROR(INDEX(Détail!$G$5:$G$31,MATCH("Tourelle lourde (Heavy)",Détail!$B$5:$B$31,0)),0)</f>
        <v>270</v>
      </c>
      <c r="F62" s="7" t="n">
        <f aca="false">IFERROR(INDEX(Détail!$H$5:$H$31,MATCH("Tourelle lourde (Heavy)",Détail!$B$5:$B$31,0)),0)</f>
        <v>70</v>
      </c>
      <c r="G62" s="7" t="n">
        <f aca="false">IFERROR(INDEX(Détail!$I$5:$I$31,MATCH("Tourelle lourde (Heavy)",Détail!$B$5:$B$31,0)),0)</f>
        <v>0</v>
      </c>
      <c r="H62" s="7" t="n">
        <f aca="false">IFERROR(INDEX(Détail!$J$5:$J$31,MATCH("Tourelle lourde (Heavy)",Détail!$B$5:$B$31,0)),0)</f>
        <v>0</v>
      </c>
      <c r="I62" s="7" t="n">
        <f aca="false">IFERROR(INDEX(Détail!$K$5:$K$31,MATCH("Tourelle lourde (Heavy)",Détail!$B$5:$B$31,0)),0)</f>
        <v>0</v>
      </c>
      <c r="J62" s="7" t="n">
        <f aca="false">IFERROR(INDEX(Détail!$L$5:$L$31,MATCH("Tourelle lourde (Heavy)",Détail!$B$5:$B$31,0)),0)</f>
        <v>0</v>
      </c>
      <c r="K62" s="7" t="n">
        <f aca="false">IFERROR(INDEX(Détail!$M$5:$M$31,MATCH("Tourelle lourde (Heavy)",Détail!$B$5:$B$31,0)),0)</f>
        <v>0</v>
      </c>
      <c r="L62" s="7" t="n">
        <f aca="false">IFERROR(INDEX(Détail!$N$5:$N$31,MATCH("Tourelle lourde (Heavy)",Détail!$B$5:$B$31,0)),0)</f>
        <v>0</v>
      </c>
      <c r="M62" s="7" t="n">
        <f aca="false">IFERROR(INDEX(Détail!$O$5:$O$31,MATCH("Tourelle lourde (Heavy)",Détail!$B$5:$B$31,0)),0)</f>
        <v>0</v>
      </c>
      <c r="N62" s="7" t="n">
        <f aca="false">IFERROR(INDEX(Détail!$P$5:$P$31,MATCH("Tourelle lourde (Heavy)",Détail!$B$5:$B$31,0)),0)</f>
        <v>0</v>
      </c>
      <c r="O62" s="7" t="n">
        <f aca="false">IFERROR(INDEX(Détail!$Q$5:$Q$31,MATCH("Tourelle lourde (Heavy)",Détail!$B$5:$B$31,0)),0)</f>
        <v>0</v>
      </c>
      <c r="P62" s="7" t="n">
        <f aca="false">IFERROR(INDEX(Détail!$R$5:$R$31,MATCH("Tourelle lourde (Heavy)",Détail!$B$5:$B$31,0)),0)</f>
        <v>0</v>
      </c>
      <c r="Q62" s="14" t="n">
        <f aca="false">$B62*C62</f>
        <v>22140</v>
      </c>
      <c r="R62" s="14" t="n">
        <f aca="false">$B62*D62</f>
        <v>8200</v>
      </c>
      <c r="S62" s="14" t="n">
        <f aca="false">$B62*E62</f>
        <v>11070</v>
      </c>
      <c r="T62" s="14" t="n">
        <f aca="false">$B62*F62</f>
        <v>2870</v>
      </c>
      <c r="U62" s="14" t="n">
        <f aca="false">$B62*G62</f>
        <v>0</v>
      </c>
      <c r="V62" s="14" t="n">
        <f aca="false">$B62*H62</f>
        <v>0</v>
      </c>
      <c r="W62" s="14" t="n">
        <f aca="false">$B62*I62</f>
        <v>0</v>
      </c>
      <c r="X62" s="14" t="n">
        <f aca="false">$B62*J62</f>
        <v>0</v>
      </c>
      <c r="Y62" s="14" t="n">
        <f aca="false">$B62*K62</f>
        <v>0</v>
      </c>
      <c r="Z62" s="14" t="n">
        <f aca="false">$B62*L62</f>
        <v>0</v>
      </c>
      <c r="AA62" s="14" t="n">
        <f aca="false">$B62*M62</f>
        <v>0</v>
      </c>
      <c r="AB62" s="14" t="n">
        <f aca="false">$B62*N62</f>
        <v>0</v>
      </c>
      <c r="AC62" s="14" t="n">
        <f aca="false">$B62*O62</f>
        <v>0</v>
      </c>
      <c r="AD62" s="14" t="n">
        <f aca="false">$B62*P62</f>
        <v>0</v>
      </c>
    </row>
    <row r="63" customFormat="false" ht="15" hidden="false" customHeight="false" outlineLevel="0" collapsed="false">
      <c r="A63" s="6" t="s">
        <v>124</v>
      </c>
      <c r="B63" s="16" t="n">
        <v>18</v>
      </c>
      <c r="C63" s="7" t="n">
        <f aca="false">IFERROR(INDEX(Détail!$E$5:$E$31,MATCH("Tourelle Tek",Détail!$B$5:$B$31,0)),0)</f>
        <v>100</v>
      </c>
      <c r="D63" s="7" t="n">
        <f aca="false">IFERROR(INDEX(Détail!$F$5:$F$31,MATCH("Tourelle Tek",Détail!$B$5:$B$31,0)),0)</f>
        <v>50</v>
      </c>
      <c r="E63" s="7" t="n">
        <f aca="false">IFERROR(INDEX(Détail!$G$5:$G$31,MATCH("Tourelle Tek",Détail!$B$5:$B$31,0)),0)</f>
        <v>100</v>
      </c>
      <c r="F63" s="7" t="n">
        <f aca="false">IFERROR(INDEX(Détail!$H$5:$H$31,MATCH("Tourelle Tek",Détail!$B$5:$B$31,0)),0)</f>
        <v>50</v>
      </c>
      <c r="G63" s="7" t="n">
        <f aca="false">IFERROR(INDEX(Détail!$I$5:$I$31,MATCH("Tourelle Tek",Détail!$B$5:$B$31,0)),0)</f>
        <v>0</v>
      </c>
      <c r="H63" s="7" t="n">
        <f aca="false">IFERROR(INDEX(Détail!$J$5:$J$31,MATCH("Tourelle Tek",Détail!$B$5:$B$31,0)),0)</f>
        <v>3</v>
      </c>
      <c r="I63" s="7" t="n">
        <f aca="false">IFERROR(INDEX(Détail!$K$5:$K$31,MATCH("Tourelle Tek",Détail!$B$5:$B$31,0)),0)</f>
        <v>0</v>
      </c>
      <c r="J63" s="7" t="n">
        <f aca="false">IFERROR(INDEX(Détail!$L$5:$L$31,MATCH("Tourelle Tek",Détail!$B$5:$B$31,0)),0)</f>
        <v>0</v>
      </c>
      <c r="K63" s="7" t="n">
        <f aca="false">IFERROR(INDEX(Détail!$M$5:$M$31,MATCH("Tourelle Tek",Détail!$B$5:$B$31,0)),0)</f>
        <v>0</v>
      </c>
      <c r="L63" s="7" t="n">
        <f aca="false">IFERROR(INDEX(Détail!$N$5:$N$31,MATCH("Tourelle Tek",Détail!$B$5:$B$31,0)),0)</f>
        <v>0</v>
      </c>
      <c r="M63" s="7" t="n">
        <f aca="false">IFERROR(INDEX(Détail!$O$5:$O$31,MATCH("Tourelle Tek",Détail!$B$5:$B$31,0)),0)</f>
        <v>0</v>
      </c>
      <c r="N63" s="7" t="n">
        <f aca="false">IFERROR(INDEX(Détail!$P$5:$P$31,MATCH("Tourelle Tek",Détail!$B$5:$B$31,0)),0)</f>
        <v>0</v>
      </c>
      <c r="O63" s="7" t="n">
        <f aca="false">IFERROR(INDEX(Détail!$Q$5:$Q$31,MATCH("Tourelle Tek",Détail!$B$5:$B$31,0)),0)</f>
        <v>0</v>
      </c>
      <c r="P63" s="7" t="n">
        <f aca="false">IFERROR(INDEX(Détail!$R$5:$R$31,MATCH("Tourelle Tek",Détail!$B$5:$B$31,0)),0)</f>
        <v>0</v>
      </c>
      <c r="Q63" s="14" t="n">
        <f aca="false">$B63*C63</f>
        <v>1800</v>
      </c>
      <c r="R63" s="14" t="n">
        <f aca="false">$B63*D63</f>
        <v>900</v>
      </c>
      <c r="S63" s="14" t="n">
        <f aca="false">$B63*E63</f>
        <v>1800</v>
      </c>
      <c r="T63" s="14" t="n">
        <f aca="false">$B63*F63</f>
        <v>900</v>
      </c>
      <c r="U63" s="14" t="n">
        <f aca="false">$B63*G63</f>
        <v>0</v>
      </c>
      <c r="V63" s="14" t="n">
        <f aca="false">$B63*H63</f>
        <v>54</v>
      </c>
      <c r="W63" s="14" t="n">
        <f aca="false">$B63*I63</f>
        <v>0</v>
      </c>
      <c r="X63" s="14" t="n">
        <f aca="false">$B63*J63</f>
        <v>0</v>
      </c>
      <c r="Y63" s="14" t="n">
        <f aca="false">$B63*K63</f>
        <v>0</v>
      </c>
      <c r="Z63" s="14" t="n">
        <f aca="false">$B63*L63</f>
        <v>0</v>
      </c>
      <c r="AA63" s="14" t="n">
        <f aca="false">$B63*M63</f>
        <v>0</v>
      </c>
      <c r="AB63" s="14" t="n">
        <f aca="false">$B63*N63</f>
        <v>0</v>
      </c>
      <c r="AC63" s="14" t="n">
        <f aca="false">$B63*O63</f>
        <v>0</v>
      </c>
      <c r="AD63" s="14" t="n">
        <f aca="false">$B63*P63</f>
        <v>0</v>
      </c>
    </row>
    <row r="64" customFormat="false" ht="15" hidden="false" customHeight="false" outlineLevel="0" collapsed="false">
      <c r="A64" s="6" t="s">
        <v>125</v>
      </c>
      <c r="B64" s="16" t="n">
        <v>6</v>
      </c>
      <c r="C64" s="7" t="n">
        <f aca="false">IFERROR(INDEX(Détail!$E$5:$E$31,MATCH("Bobine Tesla",Détail!$B$5:$B$31,0)),0)</f>
        <v>500</v>
      </c>
      <c r="D64" s="7" t="n">
        <f aca="false">IFERROR(INDEX(Détail!$F$5:$F$31,MATCH("Bobine Tesla",Détail!$B$5:$B$31,0)),0)</f>
        <v>0</v>
      </c>
      <c r="E64" s="7" t="n">
        <f aca="false">IFERROR(INDEX(Détail!$G$5:$G$31,MATCH("Bobine Tesla",Détail!$B$5:$B$31,0)),0)</f>
        <v>100</v>
      </c>
      <c r="F64" s="7" t="n">
        <f aca="false">IFERROR(INDEX(Détail!$H$5:$H$31,MATCH("Bobine Tesla",Détail!$B$5:$B$31,0)),0)</f>
        <v>300</v>
      </c>
      <c r="G64" s="7" t="n">
        <f aca="false">IFERROR(INDEX(Détail!$I$5:$I$31,MATCH("Bobine Tesla",Détail!$B$5:$B$31,0)),0)</f>
        <v>200</v>
      </c>
      <c r="H64" s="7" t="n">
        <f aca="false">IFERROR(INDEX(Détail!$J$5:$J$31,MATCH("Bobine Tesla",Détail!$B$5:$B$31,0)),0)</f>
        <v>0</v>
      </c>
      <c r="I64" s="7" t="n">
        <f aca="false">IFERROR(INDEX(Détail!$K$5:$K$31,MATCH("Bobine Tesla",Détail!$B$5:$B$31,0)),0)</f>
        <v>0</v>
      </c>
      <c r="J64" s="7" t="n">
        <f aca="false">IFERROR(INDEX(Détail!$L$5:$L$31,MATCH("Bobine Tesla",Détail!$B$5:$B$31,0)),0)</f>
        <v>0</v>
      </c>
      <c r="K64" s="7" t="n">
        <f aca="false">IFERROR(INDEX(Détail!$M$5:$M$31,MATCH("Bobine Tesla",Détail!$B$5:$B$31,0)),0)</f>
        <v>0</v>
      </c>
      <c r="L64" s="7" t="n">
        <f aca="false">IFERROR(INDEX(Détail!$N$5:$N$31,MATCH("Bobine Tesla",Détail!$B$5:$B$31,0)),0)</f>
        <v>0</v>
      </c>
      <c r="M64" s="7" t="n">
        <f aca="false">IFERROR(INDEX(Détail!$O$5:$O$31,MATCH("Bobine Tesla",Détail!$B$5:$B$31,0)),0)</f>
        <v>0</v>
      </c>
      <c r="N64" s="7" t="n">
        <f aca="false">IFERROR(INDEX(Détail!$P$5:$P$31,MATCH("Bobine Tesla",Détail!$B$5:$B$31,0)),0)</f>
        <v>0</v>
      </c>
      <c r="O64" s="7" t="n">
        <f aca="false">IFERROR(INDEX(Détail!$Q$5:$Q$31,MATCH("Bobine Tesla",Détail!$B$5:$B$31,0)),0)</f>
        <v>0</v>
      </c>
      <c r="P64" s="7" t="n">
        <f aca="false">IFERROR(INDEX(Détail!$R$5:$R$31,MATCH("Bobine Tesla",Détail!$B$5:$B$31,0)),0)</f>
        <v>0</v>
      </c>
      <c r="Q64" s="14" t="n">
        <f aca="false">$B64*C64</f>
        <v>3000</v>
      </c>
      <c r="R64" s="14" t="n">
        <f aca="false">$B64*D64</f>
        <v>0</v>
      </c>
      <c r="S64" s="14" t="n">
        <f aca="false">$B64*E64</f>
        <v>600</v>
      </c>
      <c r="T64" s="14" t="n">
        <f aca="false">$B64*F64</f>
        <v>1800</v>
      </c>
      <c r="U64" s="14" t="n">
        <f aca="false">$B64*G64</f>
        <v>1200</v>
      </c>
      <c r="V64" s="14" t="n">
        <f aca="false">$B64*H64</f>
        <v>0</v>
      </c>
      <c r="W64" s="14" t="n">
        <f aca="false">$B64*I64</f>
        <v>0</v>
      </c>
      <c r="X64" s="14" t="n">
        <f aca="false">$B64*J64</f>
        <v>0</v>
      </c>
      <c r="Y64" s="14" t="n">
        <f aca="false">$B64*K64</f>
        <v>0</v>
      </c>
      <c r="Z64" s="14" t="n">
        <f aca="false">$B64*L64</f>
        <v>0</v>
      </c>
      <c r="AA64" s="14" t="n">
        <f aca="false">$B64*M64</f>
        <v>0</v>
      </c>
      <c r="AB64" s="14" t="n">
        <f aca="false">$B64*N64</f>
        <v>0</v>
      </c>
      <c r="AC64" s="14" t="n">
        <f aca="false">$B64*O64</f>
        <v>0</v>
      </c>
      <c r="AD64" s="14" t="n">
        <f aca="false">$B64*P64</f>
        <v>0</v>
      </c>
    </row>
    <row r="65" customFormat="false" ht="15" hidden="false" customHeight="false" outlineLevel="0" collapsed="false">
      <c r="A65" s="6" t="s">
        <v>126</v>
      </c>
      <c r="B65" s="16" t="n">
        <v>5</v>
      </c>
      <c r="C65" s="7" t="n">
        <f aca="false">IFERROR(INDEX(Détail!$E$5:$E$31,MATCH("Grand carré de culture (Plant Species X)",Détail!$B$5:$B$31,0)),0)</f>
        <v>0</v>
      </c>
      <c r="D65" s="7" t="n">
        <f aca="false">IFERROR(INDEX(Détail!$F$5:$F$31,MATCH("Grand carré de culture (Plant Species X)",Détail!$B$5:$B$31,0)),0)</f>
        <v>0</v>
      </c>
      <c r="E65" s="7" t="n">
        <f aca="false">IFERROR(INDEX(Détail!$G$5:$G$31,MATCH("Grand carré de culture (Plant Species X)",Détail!$B$5:$B$31,0)),0)</f>
        <v>0</v>
      </c>
      <c r="F65" s="7" t="n">
        <f aca="false">IFERROR(INDEX(Détail!$H$5:$H$31,MATCH("Grand carré de culture (Plant Species X)",Détail!$B$5:$B$31,0)),0)</f>
        <v>0</v>
      </c>
      <c r="G65" s="7" t="n">
        <f aca="false">IFERROR(INDEX(Détail!$I$5:$I$31,MATCH("Grand carré de culture (Plant Species X)",Détail!$B$5:$B$31,0)),0)</f>
        <v>0</v>
      </c>
      <c r="H65" s="7" t="n">
        <f aca="false">IFERROR(INDEX(Détail!$J$5:$J$31,MATCH("Grand carré de culture (Plant Species X)",Détail!$B$5:$B$31,0)),0)</f>
        <v>0</v>
      </c>
      <c r="I65" s="7" t="n">
        <f aca="false">IFERROR(INDEX(Détail!$K$5:$K$31,MATCH("Grand carré de culture (Plant Species X)",Détail!$B$5:$B$31,0)),0)</f>
        <v>0</v>
      </c>
      <c r="J65" s="7" t="n">
        <f aca="false">IFERROR(INDEX(Détail!$L$5:$L$31,MATCH("Grand carré de culture (Plant Species X)",Détail!$B$5:$B$31,0)),0)</f>
        <v>0</v>
      </c>
      <c r="K65" s="7" t="n">
        <f aca="false">IFERROR(INDEX(Détail!$M$5:$M$31,MATCH("Grand carré de culture (Plant Species X)",Détail!$B$5:$B$31,0)),0)</f>
        <v>0</v>
      </c>
      <c r="L65" s="7" t="n">
        <f aca="false">IFERROR(INDEX(Détail!$N$5:$N$31,MATCH("Grand carré de culture (Plant Species X)",Détail!$B$5:$B$31,0)),0)</f>
        <v>0</v>
      </c>
      <c r="M65" s="7" t="n">
        <f aca="false">IFERROR(INDEX(Détail!$O$5:$O$31,MATCH("Grand carré de culture (Plant Species X)",Détail!$B$5:$B$31,0)),0)</f>
        <v>40</v>
      </c>
      <c r="N65" s="7" t="n">
        <f aca="false">IFERROR(INDEX(Détail!$P$5:$P$31,MATCH("Grand carré de culture (Plant Species X)",Détail!$B$5:$B$31,0)),0)</f>
        <v>50</v>
      </c>
      <c r="O65" s="7" t="n">
        <f aca="false">IFERROR(INDEX(Détail!$Q$5:$Q$31,MATCH("Grand carré de culture (Plant Species X)",Détail!$B$5:$B$31,0)),0)</f>
        <v>40</v>
      </c>
      <c r="P65" s="7" t="n">
        <f aca="false">IFERROR(INDEX(Détail!$R$5:$R$31,MATCH("Grand carré de culture (Plant Species X)",Détail!$B$5:$B$31,0)),0)</f>
        <v>100</v>
      </c>
      <c r="Q65" s="14" t="n">
        <f aca="false">$B65*C65</f>
        <v>0</v>
      </c>
      <c r="R65" s="14" t="n">
        <f aca="false">$B65*D65</f>
        <v>0</v>
      </c>
      <c r="S65" s="14" t="n">
        <f aca="false">$B65*E65</f>
        <v>0</v>
      </c>
      <c r="T65" s="14" t="n">
        <f aca="false">$B65*F65</f>
        <v>0</v>
      </c>
      <c r="U65" s="14" t="n">
        <f aca="false">$B65*G65</f>
        <v>0</v>
      </c>
      <c r="V65" s="14" t="n">
        <f aca="false">$B65*H65</f>
        <v>0</v>
      </c>
      <c r="W65" s="14" t="n">
        <f aca="false">$B65*I65</f>
        <v>0</v>
      </c>
      <c r="X65" s="14" t="n">
        <f aca="false">$B65*J65</f>
        <v>0</v>
      </c>
      <c r="Y65" s="14" t="n">
        <f aca="false">$B65*K65</f>
        <v>0</v>
      </c>
      <c r="Z65" s="14" t="n">
        <f aca="false">$B65*L65</f>
        <v>0</v>
      </c>
      <c r="AA65" s="14" t="n">
        <f aca="false">$B65*M65</f>
        <v>200</v>
      </c>
      <c r="AB65" s="14" t="n">
        <f aca="false">$B65*N65</f>
        <v>250</v>
      </c>
      <c r="AC65" s="14" t="n">
        <f aca="false">$B65*O65</f>
        <v>200</v>
      </c>
      <c r="AD65" s="14" t="n">
        <f aca="false">$B65*P65</f>
        <v>500</v>
      </c>
    </row>
    <row r="66" customFormat="false" ht="15" hidden="false" customHeight="false" outlineLevel="0" collapsed="false">
      <c r="A66" s="8" t="s">
        <v>99</v>
      </c>
      <c r="B66" s="9" t="n">
        <f aca="false">SUM(B62:B65)</f>
        <v>70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9" t="n">
        <f aca="false">SUM(Q62:Q65)</f>
        <v>26940</v>
      </c>
      <c r="R66" s="9" t="n">
        <f aca="false">SUM(R62:R65)</f>
        <v>9100</v>
      </c>
      <c r="S66" s="9" t="n">
        <f aca="false">SUM(S62:S65)</f>
        <v>13470</v>
      </c>
      <c r="T66" s="9" t="n">
        <f aca="false">SUM(T62:T65)</f>
        <v>5570</v>
      </c>
      <c r="U66" s="9" t="n">
        <f aca="false">SUM(U62:U65)</f>
        <v>1200</v>
      </c>
      <c r="V66" s="9" t="n">
        <f aca="false">SUM(V62:V65)</f>
        <v>54</v>
      </c>
      <c r="W66" s="9" t="n">
        <f aca="false">SUM(W62:W65)</f>
        <v>0</v>
      </c>
      <c r="X66" s="9" t="n">
        <f aca="false">SUM(X62:X65)</f>
        <v>0</v>
      </c>
      <c r="Y66" s="9" t="n">
        <f aca="false">SUM(Y62:Y65)</f>
        <v>0</v>
      </c>
      <c r="Z66" s="9" t="n">
        <f aca="false">SUM(Z62:Z65)</f>
        <v>0</v>
      </c>
      <c r="AA66" s="9" t="n">
        <f aca="false">SUM(AA62:AA65)</f>
        <v>200</v>
      </c>
      <c r="AB66" s="9" t="n">
        <f aca="false">SUM(AB62:AB65)</f>
        <v>250</v>
      </c>
      <c r="AC66" s="9" t="n">
        <f aca="false">SUM(AC62:AC65)</f>
        <v>200</v>
      </c>
      <c r="AD66" s="9" t="n">
        <f aca="false">SUM(AD62:AD65)</f>
        <v>500</v>
      </c>
    </row>
    <row r="67" customFormat="false" ht="15" hidden="false" customHeight="false" outlineLevel="0" collapsed="false">
      <c r="A67" s="8" t="s">
        <v>36</v>
      </c>
      <c r="B67" s="9" t="n">
        <f aca="false">SUM(B62:B65)-SUMIF(A62:A65,"* (inventaire)",B62:B65)</f>
        <v>5</v>
      </c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9" t="n">
        <f aca="false">SUM(Q62:Q65)-SUMIF(A62:A65,"* (inventaire)",Q62:Q65)</f>
        <v>0</v>
      </c>
      <c r="R67" s="9" t="n">
        <f aca="false">SUM(R62:R65)-SUMIF(A62:A65,"* (inventaire)",R62:R65)</f>
        <v>0</v>
      </c>
      <c r="S67" s="9" t="n">
        <f aca="false">SUM(S62:S65)-SUMIF(A62:A65,"* (inventaire)",S62:S65)</f>
        <v>0</v>
      </c>
      <c r="T67" s="9" t="n">
        <f aca="false">SUM(T62:T65)-SUMIF(A62:A65,"* (inventaire)",T62:T65)</f>
        <v>0</v>
      </c>
      <c r="U67" s="9" t="n">
        <f aca="false">SUM(U62:U65)-SUMIF(A62:A65,"* (inventaire)",U62:U65)</f>
        <v>0</v>
      </c>
      <c r="V67" s="9" t="n">
        <f aca="false">SUM(V62:V65)-SUMIF(A62:A65,"* (inventaire)",V62:V65)</f>
        <v>0</v>
      </c>
      <c r="W67" s="9" t="n">
        <f aca="false">SUM(W62:W65)-SUMIF(A62:A65,"* (inventaire)",W62:W65)</f>
        <v>0</v>
      </c>
      <c r="X67" s="9" t="n">
        <f aca="false">SUM(X62:X65)-SUMIF(A62:A65,"* (inventaire)",X62:X65)</f>
        <v>0</v>
      </c>
      <c r="Y67" s="9" t="n">
        <f aca="false">SUM(Y62:Y65)-SUMIF(A62:A65,"* (inventaire)",Y62:Y65)</f>
        <v>0</v>
      </c>
      <c r="Z67" s="9" t="n">
        <f aca="false">SUM(Z62:Z65)-SUMIF(A62:A65,"* (inventaire)",Z62:Z65)</f>
        <v>0</v>
      </c>
      <c r="AA67" s="9" t="n">
        <f aca="false">SUM(AA62:AA65)-SUMIF(A62:A65,"* (inventaire)",AA62:AA65)</f>
        <v>200</v>
      </c>
      <c r="AB67" s="9" t="n">
        <f aca="false">SUM(AB62:AB65)-SUMIF(A62:A65,"* (inventaire)",AB62:AB65)</f>
        <v>250</v>
      </c>
      <c r="AC67" s="9" t="n">
        <f aca="false">SUM(AC62:AC65)-SUMIF(A62:A65,"* (inventaire)",AC62:AC65)</f>
        <v>200</v>
      </c>
      <c r="AD67" s="9" t="n">
        <f aca="false">SUM(AD62:AD65)-SUMIF(A62:A65,"* (inventaire)",AD62:AD65)</f>
        <v>500</v>
      </c>
    </row>
    <row r="68" customFormat="false" ht="15" hidden="false" customHeight="fals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5" hidden="false" customHeight="false" outlineLevel="0" collapsed="false">
      <c r="A69" s="15" t="s">
        <v>127</v>
      </c>
      <c r="B69" s="2"/>
      <c r="C69" s="3" t="s">
        <v>128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30" hidden="false" customHeight="true" outlineLevel="0" collapsed="false">
      <c r="A70" s="11" t="s">
        <v>67</v>
      </c>
      <c r="B70" s="11" t="s">
        <v>68</v>
      </c>
      <c r="C70" s="11" t="s">
        <v>69</v>
      </c>
      <c r="D70" s="11" t="s">
        <v>70</v>
      </c>
      <c r="E70" s="11" t="s">
        <v>71</v>
      </c>
      <c r="F70" s="11" t="s">
        <v>72</v>
      </c>
      <c r="G70" s="11" t="s">
        <v>73</v>
      </c>
      <c r="H70" s="11" t="s">
        <v>74</v>
      </c>
      <c r="I70" s="11" t="s">
        <v>75</v>
      </c>
      <c r="J70" s="11" t="s">
        <v>76</v>
      </c>
      <c r="K70" s="11" t="s">
        <v>77</v>
      </c>
      <c r="L70" s="11" t="s">
        <v>78</v>
      </c>
      <c r="M70" s="11" t="s">
        <v>79</v>
      </c>
      <c r="N70" s="11" t="s">
        <v>80</v>
      </c>
      <c r="O70" s="11" t="s">
        <v>81</v>
      </c>
      <c r="P70" s="11" t="s">
        <v>82</v>
      </c>
      <c r="Q70" s="11" t="s">
        <v>83</v>
      </c>
      <c r="R70" s="11" t="s">
        <v>84</v>
      </c>
      <c r="S70" s="11" t="s">
        <v>85</v>
      </c>
      <c r="T70" s="11" t="s">
        <v>86</v>
      </c>
      <c r="U70" s="11" t="s">
        <v>87</v>
      </c>
      <c r="V70" s="11" t="s">
        <v>88</v>
      </c>
      <c r="W70" s="11" t="s">
        <v>89</v>
      </c>
      <c r="X70" s="11" t="s">
        <v>90</v>
      </c>
      <c r="Y70" s="11" t="s">
        <v>91</v>
      </c>
      <c r="Z70" s="11" t="s">
        <v>92</v>
      </c>
      <c r="AA70" s="11" t="s">
        <v>93</v>
      </c>
      <c r="AB70" s="11" t="s">
        <v>94</v>
      </c>
      <c r="AC70" s="11" t="s">
        <v>95</v>
      </c>
      <c r="AD70" s="11" t="s">
        <v>96</v>
      </c>
    </row>
    <row r="71" customFormat="false" ht="15" hidden="false" customHeight="false" outlineLevel="0" collapsed="false">
      <c r="A71" s="6" t="s">
        <v>129</v>
      </c>
      <c r="B71" s="16" t="n">
        <v>6</v>
      </c>
      <c r="C71" s="7" t="n">
        <f aca="false">IFERROR(INDEX(Détail!$E$5:$E$31,MATCH("Carré de culture moyen (Plant Species X)",Détail!$B$5:$B$31,0)),0)</f>
        <v>0</v>
      </c>
      <c r="D71" s="7" t="n">
        <f aca="false">IFERROR(INDEX(Détail!$F$5:$F$31,MATCH("Carré de culture moyen (Plant Species X)",Détail!$B$5:$B$31,0)),0)</f>
        <v>0</v>
      </c>
      <c r="E71" s="7" t="n">
        <f aca="false">IFERROR(INDEX(Détail!$G$5:$G$31,MATCH("Carré de culture moyen (Plant Species X)",Détail!$B$5:$B$31,0)),0)</f>
        <v>0</v>
      </c>
      <c r="F71" s="7" t="n">
        <f aca="false">IFERROR(INDEX(Détail!$H$5:$H$31,MATCH("Carré de culture moyen (Plant Species X)",Détail!$B$5:$B$31,0)),0)</f>
        <v>0</v>
      </c>
      <c r="G71" s="7" t="n">
        <f aca="false">IFERROR(INDEX(Détail!$I$5:$I$31,MATCH("Carré de culture moyen (Plant Species X)",Détail!$B$5:$B$31,0)),0)</f>
        <v>0</v>
      </c>
      <c r="H71" s="7" t="n">
        <f aca="false">IFERROR(INDEX(Détail!$J$5:$J$31,MATCH("Carré de culture moyen (Plant Species X)",Détail!$B$5:$B$31,0)),0)</f>
        <v>0</v>
      </c>
      <c r="I71" s="7" t="n">
        <f aca="false">IFERROR(INDEX(Détail!$K$5:$K$31,MATCH("Carré de culture moyen (Plant Species X)",Détail!$B$5:$B$31,0)),0)</f>
        <v>0</v>
      </c>
      <c r="J71" s="7" t="n">
        <f aca="false">IFERROR(INDEX(Détail!$L$5:$L$31,MATCH("Carré de culture moyen (Plant Species X)",Détail!$B$5:$B$31,0)),0)</f>
        <v>0</v>
      </c>
      <c r="K71" s="7" t="n">
        <f aca="false">IFERROR(INDEX(Détail!$M$5:$M$31,MATCH("Carré de culture moyen (Plant Species X)",Détail!$B$5:$B$31,0)),0)</f>
        <v>0</v>
      </c>
      <c r="L71" s="7" t="n">
        <f aca="false">IFERROR(INDEX(Détail!$N$5:$N$31,MATCH("Carré de culture moyen (Plant Species X)",Détail!$B$5:$B$31,0)),0)</f>
        <v>0</v>
      </c>
      <c r="M71" s="7" t="n">
        <f aca="false">IFERROR(INDEX(Détail!$O$5:$O$31,MATCH("Carré de culture moyen (Plant Species X)",Détail!$B$5:$B$31,0)),0)</f>
        <v>30</v>
      </c>
      <c r="N71" s="7" t="n">
        <f aca="false">IFERROR(INDEX(Détail!$P$5:$P$31,MATCH("Carré de culture moyen (Plant Species X)",Détail!$B$5:$B$31,0)),0)</f>
        <v>20</v>
      </c>
      <c r="O71" s="7" t="n">
        <f aca="false">IFERROR(INDEX(Détail!$Q$5:$Q$31,MATCH("Carré de culture moyen (Plant Species X)",Détail!$B$5:$B$31,0)),0)</f>
        <v>0</v>
      </c>
      <c r="P71" s="7" t="n">
        <f aca="false">IFERROR(INDEX(Détail!$R$5:$R$31,MATCH("Carré de culture moyen (Plant Species X)",Détail!$B$5:$B$31,0)),0)</f>
        <v>50</v>
      </c>
      <c r="Q71" s="14" t="n">
        <f aca="false">$B71*C71</f>
        <v>0</v>
      </c>
      <c r="R71" s="14" t="n">
        <f aca="false">$B71*D71</f>
        <v>0</v>
      </c>
      <c r="S71" s="14" t="n">
        <f aca="false">$B71*E71</f>
        <v>0</v>
      </c>
      <c r="T71" s="14" t="n">
        <f aca="false">$B71*F71</f>
        <v>0</v>
      </c>
      <c r="U71" s="14" t="n">
        <f aca="false">$B71*G71</f>
        <v>0</v>
      </c>
      <c r="V71" s="14" t="n">
        <f aca="false">$B71*H71</f>
        <v>0</v>
      </c>
      <c r="W71" s="14" t="n">
        <f aca="false">$B71*I71</f>
        <v>0</v>
      </c>
      <c r="X71" s="14" t="n">
        <f aca="false">$B71*J71</f>
        <v>0</v>
      </c>
      <c r="Y71" s="14" t="n">
        <f aca="false">$B71*K71</f>
        <v>0</v>
      </c>
      <c r="Z71" s="14" t="n">
        <f aca="false">$B71*L71</f>
        <v>0</v>
      </c>
      <c r="AA71" s="14" t="n">
        <f aca="false">$B71*M71</f>
        <v>180</v>
      </c>
      <c r="AB71" s="14" t="n">
        <f aca="false">$B71*N71</f>
        <v>120</v>
      </c>
      <c r="AC71" s="14" t="n">
        <f aca="false">$B71*O71</f>
        <v>0</v>
      </c>
      <c r="AD71" s="14" t="n">
        <f aca="false">$B71*P71</f>
        <v>300</v>
      </c>
    </row>
    <row r="72" customFormat="false" ht="15" hidden="false" customHeight="false" outlineLevel="0" collapsed="false">
      <c r="A72" s="6" t="s">
        <v>123</v>
      </c>
      <c r="B72" s="16" t="n">
        <v>6</v>
      </c>
      <c r="C72" s="7" t="n">
        <f aca="false">IFERROR(INDEX(Détail!$E$5:$E$31,MATCH("Tourelle lourde (Heavy)",Détail!$B$5:$B$31,0)),0)</f>
        <v>540</v>
      </c>
      <c r="D72" s="7" t="n">
        <f aca="false">IFERROR(INDEX(Détail!$F$5:$F$31,MATCH("Tourelle lourde (Heavy)",Détail!$B$5:$B$31,0)),0)</f>
        <v>200</v>
      </c>
      <c r="E72" s="7" t="n">
        <f aca="false">IFERROR(INDEX(Détail!$G$5:$G$31,MATCH("Tourelle lourde (Heavy)",Détail!$B$5:$B$31,0)),0)</f>
        <v>270</v>
      </c>
      <c r="F72" s="7" t="n">
        <f aca="false">IFERROR(INDEX(Détail!$H$5:$H$31,MATCH("Tourelle lourde (Heavy)",Détail!$B$5:$B$31,0)),0)</f>
        <v>70</v>
      </c>
      <c r="G72" s="7" t="n">
        <f aca="false">IFERROR(INDEX(Détail!$I$5:$I$31,MATCH("Tourelle lourde (Heavy)",Détail!$B$5:$B$31,0)),0)</f>
        <v>0</v>
      </c>
      <c r="H72" s="7" t="n">
        <f aca="false">IFERROR(INDEX(Détail!$J$5:$J$31,MATCH("Tourelle lourde (Heavy)",Détail!$B$5:$B$31,0)),0)</f>
        <v>0</v>
      </c>
      <c r="I72" s="7" t="n">
        <f aca="false">IFERROR(INDEX(Détail!$K$5:$K$31,MATCH("Tourelle lourde (Heavy)",Détail!$B$5:$B$31,0)),0)</f>
        <v>0</v>
      </c>
      <c r="J72" s="7" t="n">
        <f aca="false">IFERROR(INDEX(Détail!$L$5:$L$31,MATCH("Tourelle lourde (Heavy)",Détail!$B$5:$B$31,0)),0)</f>
        <v>0</v>
      </c>
      <c r="K72" s="7" t="n">
        <f aca="false">IFERROR(INDEX(Détail!$M$5:$M$31,MATCH("Tourelle lourde (Heavy)",Détail!$B$5:$B$31,0)),0)</f>
        <v>0</v>
      </c>
      <c r="L72" s="7" t="n">
        <f aca="false">IFERROR(INDEX(Détail!$N$5:$N$31,MATCH("Tourelle lourde (Heavy)",Détail!$B$5:$B$31,0)),0)</f>
        <v>0</v>
      </c>
      <c r="M72" s="7" t="n">
        <f aca="false">IFERROR(INDEX(Détail!$O$5:$O$31,MATCH("Tourelle lourde (Heavy)",Détail!$B$5:$B$31,0)),0)</f>
        <v>0</v>
      </c>
      <c r="N72" s="7" t="n">
        <f aca="false">IFERROR(INDEX(Détail!$P$5:$P$31,MATCH("Tourelle lourde (Heavy)",Détail!$B$5:$B$31,0)),0)</f>
        <v>0</v>
      </c>
      <c r="O72" s="7" t="n">
        <f aca="false">IFERROR(INDEX(Détail!$Q$5:$Q$31,MATCH("Tourelle lourde (Heavy)",Détail!$B$5:$B$31,0)),0)</f>
        <v>0</v>
      </c>
      <c r="P72" s="7" t="n">
        <f aca="false">IFERROR(INDEX(Détail!$R$5:$R$31,MATCH("Tourelle lourde (Heavy)",Détail!$B$5:$B$31,0)),0)</f>
        <v>0</v>
      </c>
      <c r="Q72" s="14" t="n">
        <f aca="false">$B72*C72</f>
        <v>3240</v>
      </c>
      <c r="R72" s="14" t="n">
        <f aca="false">$B72*D72</f>
        <v>1200</v>
      </c>
      <c r="S72" s="14" t="n">
        <f aca="false">$B72*E72</f>
        <v>1620</v>
      </c>
      <c r="T72" s="14" t="n">
        <f aca="false">$B72*F72</f>
        <v>420</v>
      </c>
      <c r="U72" s="14" t="n">
        <f aca="false">$B72*G72</f>
        <v>0</v>
      </c>
      <c r="V72" s="14" t="n">
        <f aca="false">$B72*H72</f>
        <v>0</v>
      </c>
      <c r="W72" s="14" t="n">
        <f aca="false">$B72*I72</f>
        <v>0</v>
      </c>
      <c r="X72" s="14" t="n">
        <f aca="false">$B72*J72</f>
        <v>0</v>
      </c>
      <c r="Y72" s="14" t="n">
        <f aca="false">$B72*K72</f>
        <v>0</v>
      </c>
      <c r="Z72" s="14" t="n">
        <f aca="false">$B72*L72</f>
        <v>0</v>
      </c>
      <c r="AA72" s="14" t="n">
        <f aca="false">$B72*M72</f>
        <v>0</v>
      </c>
      <c r="AB72" s="14" t="n">
        <f aca="false">$B72*N72</f>
        <v>0</v>
      </c>
      <c r="AC72" s="14" t="n">
        <f aca="false">$B72*O72</f>
        <v>0</v>
      </c>
      <c r="AD72" s="14" t="n">
        <f aca="false">$B72*P72</f>
        <v>0</v>
      </c>
    </row>
    <row r="73" customFormat="false" ht="15" hidden="false" customHeight="false" outlineLevel="0" collapsed="false">
      <c r="A73" s="6" t="s">
        <v>124</v>
      </c>
      <c r="B73" s="16" t="n">
        <v>6</v>
      </c>
      <c r="C73" s="7" t="n">
        <f aca="false">IFERROR(INDEX(Détail!$E$5:$E$31,MATCH("Tourelle Tek",Détail!$B$5:$B$31,0)),0)</f>
        <v>100</v>
      </c>
      <c r="D73" s="7" t="n">
        <f aca="false">IFERROR(INDEX(Détail!$F$5:$F$31,MATCH("Tourelle Tek",Détail!$B$5:$B$31,0)),0)</f>
        <v>50</v>
      </c>
      <c r="E73" s="7" t="n">
        <f aca="false">IFERROR(INDEX(Détail!$G$5:$G$31,MATCH("Tourelle Tek",Détail!$B$5:$B$31,0)),0)</f>
        <v>100</v>
      </c>
      <c r="F73" s="7" t="n">
        <f aca="false">IFERROR(INDEX(Détail!$H$5:$H$31,MATCH("Tourelle Tek",Détail!$B$5:$B$31,0)),0)</f>
        <v>50</v>
      </c>
      <c r="G73" s="7" t="n">
        <f aca="false">IFERROR(INDEX(Détail!$I$5:$I$31,MATCH("Tourelle Tek",Détail!$B$5:$B$31,0)),0)</f>
        <v>0</v>
      </c>
      <c r="H73" s="7" t="n">
        <f aca="false">IFERROR(INDEX(Détail!$J$5:$J$31,MATCH("Tourelle Tek",Détail!$B$5:$B$31,0)),0)</f>
        <v>3</v>
      </c>
      <c r="I73" s="7" t="n">
        <f aca="false">IFERROR(INDEX(Détail!$K$5:$K$31,MATCH("Tourelle Tek",Détail!$B$5:$B$31,0)),0)</f>
        <v>0</v>
      </c>
      <c r="J73" s="7" t="n">
        <f aca="false">IFERROR(INDEX(Détail!$L$5:$L$31,MATCH("Tourelle Tek",Détail!$B$5:$B$31,0)),0)</f>
        <v>0</v>
      </c>
      <c r="K73" s="7" t="n">
        <f aca="false">IFERROR(INDEX(Détail!$M$5:$M$31,MATCH("Tourelle Tek",Détail!$B$5:$B$31,0)),0)</f>
        <v>0</v>
      </c>
      <c r="L73" s="7" t="n">
        <f aca="false">IFERROR(INDEX(Détail!$N$5:$N$31,MATCH("Tourelle Tek",Détail!$B$5:$B$31,0)),0)</f>
        <v>0</v>
      </c>
      <c r="M73" s="7" t="n">
        <f aca="false">IFERROR(INDEX(Détail!$O$5:$O$31,MATCH("Tourelle Tek",Détail!$B$5:$B$31,0)),0)</f>
        <v>0</v>
      </c>
      <c r="N73" s="7" t="n">
        <f aca="false">IFERROR(INDEX(Détail!$P$5:$P$31,MATCH("Tourelle Tek",Détail!$B$5:$B$31,0)),0)</f>
        <v>0</v>
      </c>
      <c r="O73" s="7" t="n">
        <f aca="false">IFERROR(INDEX(Détail!$Q$5:$Q$31,MATCH("Tourelle Tek",Détail!$B$5:$B$31,0)),0)</f>
        <v>0</v>
      </c>
      <c r="P73" s="7" t="n">
        <f aca="false">IFERROR(INDEX(Détail!$R$5:$R$31,MATCH("Tourelle Tek",Détail!$B$5:$B$31,0)),0)</f>
        <v>0</v>
      </c>
      <c r="Q73" s="14" t="n">
        <f aca="false">$B73*C73</f>
        <v>600</v>
      </c>
      <c r="R73" s="14" t="n">
        <f aca="false">$B73*D73</f>
        <v>300</v>
      </c>
      <c r="S73" s="14" t="n">
        <f aca="false">$B73*E73</f>
        <v>600</v>
      </c>
      <c r="T73" s="14" t="n">
        <f aca="false">$B73*F73</f>
        <v>300</v>
      </c>
      <c r="U73" s="14" t="n">
        <f aca="false">$B73*G73</f>
        <v>0</v>
      </c>
      <c r="V73" s="14" t="n">
        <f aca="false">$B73*H73</f>
        <v>18</v>
      </c>
      <c r="W73" s="14" t="n">
        <f aca="false">$B73*I73</f>
        <v>0</v>
      </c>
      <c r="X73" s="14" t="n">
        <f aca="false">$B73*J73</f>
        <v>0</v>
      </c>
      <c r="Y73" s="14" t="n">
        <f aca="false">$B73*K73</f>
        <v>0</v>
      </c>
      <c r="Z73" s="14" t="n">
        <f aca="false">$B73*L73</f>
        <v>0</v>
      </c>
      <c r="AA73" s="14" t="n">
        <f aca="false">$B73*M73</f>
        <v>0</v>
      </c>
      <c r="AB73" s="14" t="n">
        <f aca="false">$B73*N73</f>
        <v>0</v>
      </c>
      <c r="AC73" s="14" t="n">
        <f aca="false">$B73*O73</f>
        <v>0</v>
      </c>
      <c r="AD73" s="14" t="n">
        <f aca="false">$B73*P73</f>
        <v>0</v>
      </c>
    </row>
    <row r="74" customFormat="false" ht="15" hidden="false" customHeight="false" outlineLevel="0" collapsed="false">
      <c r="A74" s="6" t="s">
        <v>125</v>
      </c>
      <c r="B74" s="16" t="n">
        <v>2</v>
      </c>
      <c r="C74" s="7" t="n">
        <f aca="false">IFERROR(INDEX(Détail!$E$5:$E$31,MATCH("Bobine Tesla",Détail!$B$5:$B$31,0)),0)</f>
        <v>500</v>
      </c>
      <c r="D74" s="7" t="n">
        <f aca="false">IFERROR(INDEX(Détail!$F$5:$F$31,MATCH("Bobine Tesla",Détail!$B$5:$B$31,0)),0)</f>
        <v>0</v>
      </c>
      <c r="E74" s="7" t="n">
        <f aca="false">IFERROR(INDEX(Détail!$G$5:$G$31,MATCH("Bobine Tesla",Détail!$B$5:$B$31,0)),0)</f>
        <v>100</v>
      </c>
      <c r="F74" s="7" t="n">
        <f aca="false">IFERROR(INDEX(Détail!$H$5:$H$31,MATCH("Bobine Tesla",Détail!$B$5:$B$31,0)),0)</f>
        <v>300</v>
      </c>
      <c r="G74" s="7" t="n">
        <f aca="false">IFERROR(INDEX(Détail!$I$5:$I$31,MATCH("Bobine Tesla",Détail!$B$5:$B$31,0)),0)</f>
        <v>200</v>
      </c>
      <c r="H74" s="7" t="n">
        <f aca="false">IFERROR(INDEX(Détail!$J$5:$J$31,MATCH("Bobine Tesla",Détail!$B$5:$B$31,0)),0)</f>
        <v>0</v>
      </c>
      <c r="I74" s="7" t="n">
        <f aca="false">IFERROR(INDEX(Détail!$K$5:$K$31,MATCH("Bobine Tesla",Détail!$B$5:$B$31,0)),0)</f>
        <v>0</v>
      </c>
      <c r="J74" s="7" t="n">
        <f aca="false">IFERROR(INDEX(Détail!$L$5:$L$31,MATCH("Bobine Tesla",Détail!$B$5:$B$31,0)),0)</f>
        <v>0</v>
      </c>
      <c r="K74" s="7" t="n">
        <f aca="false">IFERROR(INDEX(Détail!$M$5:$M$31,MATCH("Bobine Tesla",Détail!$B$5:$B$31,0)),0)</f>
        <v>0</v>
      </c>
      <c r="L74" s="7" t="n">
        <f aca="false">IFERROR(INDEX(Détail!$N$5:$N$31,MATCH("Bobine Tesla",Détail!$B$5:$B$31,0)),0)</f>
        <v>0</v>
      </c>
      <c r="M74" s="7" t="n">
        <f aca="false">IFERROR(INDEX(Détail!$O$5:$O$31,MATCH("Bobine Tesla",Détail!$B$5:$B$31,0)),0)</f>
        <v>0</v>
      </c>
      <c r="N74" s="7" t="n">
        <f aca="false">IFERROR(INDEX(Détail!$P$5:$P$31,MATCH("Bobine Tesla",Détail!$B$5:$B$31,0)),0)</f>
        <v>0</v>
      </c>
      <c r="O74" s="7" t="n">
        <f aca="false">IFERROR(INDEX(Détail!$Q$5:$Q$31,MATCH("Bobine Tesla",Détail!$B$5:$B$31,0)),0)</f>
        <v>0</v>
      </c>
      <c r="P74" s="7" t="n">
        <f aca="false">IFERROR(INDEX(Détail!$R$5:$R$31,MATCH("Bobine Tesla",Détail!$B$5:$B$31,0)),0)</f>
        <v>0</v>
      </c>
      <c r="Q74" s="14" t="n">
        <f aca="false">$B74*C74</f>
        <v>1000</v>
      </c>
      <c r="R74" s="14" t="n">
        <f aca="false">$B74*D74</f>
        <v>0</v>
      </c>
      <c r="S74" s="14" t="n">
        <f aca="false">$B74*E74</f>
        <v>200</v>
      </c>
      <c r="T74" s="14" t="n">
        <f aca="false">$B74*F74</f>
        <v>600</v>
      </c>
      <c r="U74" s="14" t="n">
        <f aca="false">$B74*G74</f>
        <v>400</v>
      </c>
      <c r="V74" s="14" t="n">
        <f aca="false">$B74*H74</f>
        <v>0</v>
      </c>
      <c r="W74" s="14" t="n">
        <f aca="false">$B74*I74</f>
        <v>0</v>
      </c>
      <c r="X74" s="14" t="n">
        <f aca="false">$B74*J74</f>
        <v>0</v>
      </c>
      <c r="Y74" s="14" t="n">
        <f aca="false">$B74*K74</f>
        <v>0</v>
      </c>
      <c r="Z74" s="14" t="n">
        <f aca="false">$B74*L74</f>
        <v>0</v>
      </c>
      <c r="AA74" s="14" t="n">
        <f aca="false">$B74*M74</f>
        <v>0</v>
      </c>
      <c r="AB74" s="14" t="n">
        <f aca="false">$B74*N74</f>
        <v>0</v>
      </c>
      <c r="AC74" s="14" t="n">
        <f aca="false">$B74*O74</f>
        <v>0</v>
      </c>
      <c r="AD74" s="14" t="n">
        <f aca="false">$B74*P74</f>
        <v>0</v>
      </c>
    </row>
    <row r="75" customFormat="false" ht="15" hidden="false" customHeight="false" outlineLevel="0" collapsed="false">
      <c r="A75" s="8" t="s">
        <v>99</v>
      </c>
      <c r="B75" s="9" t="n">
        <f aca="false">SUM(B71:B74)</f>
        <v>20</v>
      </c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9" t="n">
        <f aca="false">SUM(Q71:Q74)</f>
        <v>4840</v>
      </c>
      <c r="R75" s="9" t="n">
        <f aca="false">SUM(R71:R74)</f>
        <v>1500</v>
      </c>
      <c r="S75" s="9" t="n">
        <f aca="false">SUM(S71:S74)</f>
        <v>2420</v>
      </c>
      <c r="T75" s="9" t="n">
        <f aca="false">SUM(T71:T74)</f>
        <v>1320</v>
      </c>
      <c r="U75" s="9" t="n">
        <f aca="false">SUM(U71:U74)</f>
        <v>400</v>
      </c>
      <c r="V75" s="9" t="n">
        <f aca="false">SUM(V71:V74)</f>
        <v>18</v>
      </c>
      <c r="W75" s="9" t="n">
        <f aca="false">SUM(W71:W74)</f>
        <v>0</v>
      </c>
      <c r="X75" s="9" t="n">
        <f aca="false">SUM(X71:X74)</f>
        <v>0</v>
      </c>
      <c r="Y75" s="9" t="n">
        <f aca="false">SUM(Y71:Y74)</f>
        <v>0</v>
      </c>
      <c r="Z75" s="9" t="n">
        <f aca="false">SUM(Z71:Z74)</f>
        <v>0</v>
      </c>
      <c r="AA75" s="9" t="n">
        <f aca="false">SUM(AA71:AA74)</f>
        <v>180</v>
      </c>
      <c r="AB75" s="9" t="n">
        <f aca="false">SUM(AB71:AB74)</f>
        <v>120</v>
      </c>
      <c r="AC75" s="9" t="n">
        <f aca="false">SUM(AC71:AC74)</f>
        <v>0</v>
      </c>
      <c r="AD75" s="9" t="n">
        <f aca="false">SUM(AD71:AD74)</f>
        <v>300</v>
      </c>
    </row>
    <row r="76" customFormat="false" ht="15" hidden="false" customHeight="false" outlineLevel="0" collapsed="false">
      <c r="A76" s="8" t="s">
        <v>36</v>
      </c>
      <c r="B76" s="9" t="n">
        <f aca="false">SUM(B71:B74)-SUMIF(A71:A74,"* (inventaire)",B71:B74)</f>
        <v>6</v>
      </c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9" t="n">
        <f aca="false">SUM(Q71:Q74)-SUMIF(A71:A74,"* (inventaire)",Q71:Q74)</f>
        <v>0</v>
      </c>
      <c r="R76" s="9" t="n">
        <f aca="false">SUM(R71:R74)-SUMIF(A71:A74,"* (inventaire)",R71:R74)</f>
        <v>0</v>
      </c>
      <c r="S76" s="9" t="n">
        <f aca="false">SUM(S71:S74)-SUMIF(A71:A74,"* (inventaire)",S71:S74)</f>
        <v>0</v>
      </c>
      <c r="T76" s="9" t="n">
        <f aca="false">SUM(T71:T74)-SUMIF(A71:A74,"* (inventaire)",T71:T74)</f>
        <v>0</v>
      </c>
      <c r="U76" s="9" t="n">
        <f aca="false">SUM(U71:U74)-SUMIF(A71:A74,"* (inventaire)",U71:U74)</f>
        <v>0</v>
      </c>
      <c r="V76" s="9" t="n">
        <f aca="false">SUM(V71:V74)-SUMIF(A71:A74,"* (inventaire)",V71:V74)</f>
        <v>0</v>
      </c>
      <c r="W76" s="9" t="n">
        <f aca="false">SUM(W71:W74)-SUMIF(A71:A74,"* (inventaire)",W71:W74)</f>
        <v>0</v>
      </c>
      <c r="X76" s="9" t="n">
        <f aca="false">SUM(X71:X74)-SUMIF(A71:A74,"* (inventaire)",X71:X74)</f>
        <v>0</v>
      </c>
      <c r="Y76" s="9" t="n">
        <f aca="false">SUM(Y71:Y74)-SUMIF(A71:A74,"* (inventaire)",Y71:Y74)</f>
        <v>0</v>
      </c>
      <c r="Z76" s="9" t="n">
        <f aca="false">SUM(Z71:Z74)-SUMIF(A71:A74,"* (inventaire)",Z71:Z74)</f>
        <v>0</v>
      </c>
      <c r="AA76" s="9" t="n">
        <f aca="false">SUM(AA71:AA74)-SUMIF(A71:A74,"* (inventaire)",AA71:AA74)</f>
        <v>180</v>
      </c>
      <c r="AB76" s="9" t="n">
        <f aca="false">SUM(AB71:AB74)-SUMIF(A71:A74,"* (inventaire)",AB71:AB74)</f>
        <v>120</v>
      </c>
      <c r="AC76" s="9" t="n">
        <f aca="false">SUM(AC71:AC74)-SUMIF(A71:A74,"* (inventaire)",AC71:AC74)</f>
        <v>0</v>
      </c>
      <c r="AD76" s="9" t="n">
        <f aca="false">SUM(AD71:AD74)-SUMIF(A71:A74,"* (inventaire)",AD71:AD74)</f>
        <v>300</v>
      </c>
    </row>
    <row r="77" customFormat="false" ht="15" hidden="false" customHeight="fals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5" hidden="false" customHeight="false" outlineLevel="0" collapsed="false">
      <c r="A78" s="15" t="s">
        <v>130</v>
      </c>
      <c r="B78" s="2"/>
      <c r="C78" s="3" t="s">
        <v>131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30" hidden="false" customHeight="true" outlineLevel="0" collapsed="false">
      <c r="A79" s="11" t="s">
        <v>67</v>
      </c>
      <c r="B79" s="11" t="s">
        <v>68</v>
      </c>
      <c r="C79" s="11" t="s">
        <v>69</v>
      </c>
      <c r="D79" s="11" t="s">
        <v>70</v>
      </c>
      <c r="E79" s="11" t="s">
        <v>71</v>
      </c>
      <c r="F79" s="11" t="s">
        <v>72</v>
      </c>
      <c r="G79" s="11" t="s">
        <v>73</v>
      </c>
      <c r="H79" s="11" t="s">
        <v>74</v>
      </c>
      <c r="I79" s="11" t="s">
        <v>75</v>
      </c>
      <c r="J79" s="11" t="s">
        <v>76</v>
      </c>
      <c r="K79" s="11" t="s">
        <v>77</v>
      </c>
      <c r="L79" s="11" t="s">
        <v>78</v>
      </c>
      <c r="M79" s="11" t="s">
        <v>79</v>
      </c>
      <c r="N79" s="11" t="s">
        <v>80</v>
      </c>
      <c r="O79" s="11" t="s">
        <v>81</v>
      </c>
      <c r="P79" s="11" t="s">
        <v>82</v>
      </c>
      <c r="Q79" s="11" t="s">
        <v>83</v>
      </c>
      <c r="R79" s="11" t="s">
        <v>84</v>
      </c>
      <c r="S79" s="11" t="s">
        <v>85</v>
      </c>
      <c r="T79" s="11" t="s">
        <v>86</v>
      </c>
      <c r="U79" s="11" t="s">
        <v>87</v>
      </c>
      <c r="V79" s="11" t="s">
        <v>88</v>
      </c>
      <c r="W79" s="11" t="s">
        <v>89</v>
      </c>
      <c r="X79" s="11" t="s">
        <v>90</v>
      </c>
      <c r="Y79" s="11" t="s">
        <v>91</v>
      </c>
      <c r="Z79" s="11" t="s">
        <v>92</v>
      </c>
      <c r="AA79" s="11" t="s">
        <v>93</v>
      </c>
      <c r="AB79" s="11" t="s">
        <v>94</v>
      </c>
      <c r="AC79" s="11" t="s">
        <v>95</v>
      </c>
      <c r="AD79" s="11" t="s">
        <v>96</v>
      </c>
    </row>
    <row r="80" customFormat="false" ht="15" hidden="false" customHeight="false" outlineLevel="0" collapsed="false">
      <c r="A80" s="6" t="s">
        <v>115</v>
      </c>
      <c r="B80" s="16" t="n">
        <v>174</v>
      </c>
      <c r="C80" s="7" t="n">
        <f aca="false">IFERROR(INDEX(Détail!$E$5:$E$31,MATCH("Plafond triangle métal",Détail!$B$5:$B$31,0)),0)</f>
        <v>18</v>
      </c>
      <c r="D80" s="7" t="n">
        <f aca="false">IFERROR(INDEX(Détail!$F$5:$F$31,MATCH("Plafond triangle métal",Détail!$B$5:$B$31,0)),0)</f>
        <v>5</v>
      </c>
      <c r="E80" s="7" t="n">
        <f aca="false">IFERROR(INDEX(Détail!$G$5:$G$31,MATCH("Plafond triangle métal",Détail!$B$5:$B$31,0)),0)</f>
        <v>0</v>
      </c>
      <c r="F80" s="7" t="n">
        <f aca="false">IFERROR(INDEX(Détail!$H$5:$H$31,MATCH("Plafond triangle métal",Détail!$B$5:$B$31,0)),0)</f>
        <v>0</v>
      </c>
      <c r="G80" s="7" t="n">
        <f aca="false">IFERROR(INDEX(Détail!$I$5:$I$31,MATCH("Plafond triangle métal",Détail!$B$5:$B$31,0)),0)</f>
        <v>0</v>
      </c>
      <c r="H80" s="7" t="n">
        <f aca="false">IFERROR(INDEX(Détail!$J$5:$J$31,MATCH("Plafond triangle métal",Détail!$B$5:$B$31,0)),0)</f>
        <v>0</v>
      </c>
      <c r="I80" s="7" t="n">
        <f aca="false">IFERROR(INDEX(Détail!$K$5:$K$31,MATCH("Plafond triangle métal",Détail!$B$5:$B$31,0)),0)</f>
        <v>0</v>
      </c>
      <c r="J80" s="7" t="n">
        <f aca="false">IFERROR(INDEX(Détail!$L$5:$L$31,MATCH("Plafond triangle métal",Détail!$B$5:$B$31,0)),0)</f>
        <v>0</v>
      </c>
      <c r="K80" s="7" t="n">
        <f aca="false">IFERROR(INDEX(Détail!$M$5:$M$31,MATCH("Plafond triangle métal",Détail!$B$5:$B$31,0)),0)</f>
        <v>0</v>
      </c>
      <c r="L80" s="7" t="n">
        <f aca="false">IFERROR(INDEX(Détail!$N$5:$N$31,MATCH("Plafond triangle métal",Détail!$B$5:$B$31,0)),0)</f>
        <v>0</v>
      </c>
      <c r="M80" s="7" t="n">
        <f aca="false">IFERROR(INDEX(Détail!$O$5:$O$31,MATCH("Plafond triangle métal",Détail!$B$5:$B$31,0)),0)</f>
        <v>0</v>
      </c>
      <c r="N80" s="7" t="n">
        <f aca="false">IFERROR(INDEX(Détail!$P$5:$P$31,MATCH("Plafond triangle métal",Détail!$B$5:$B$31,0)),0)</f>
        <v>0</v>
      </c>
      <c r="O80" s="7" t="n">
        <f aca="false">IFERROR(INDEX(Détail!$Q$5:$Q$31,MATCH("Plafond triangle métal",Détail!$B$5:$B$31,0)),0)</f>
        <v>0</v>
      </c>
      <c r="P80" s="7" t="n">
        <f aca="false">IFERROR(INDEX(Détail!$R$5:$R$31,MATCH("Plafond triangle métal",Détail!$B$5:$B$31,0)),0)</f>
        <v>0</v>
      </c>
      <c r="Q80" s="14" t="n">
        <f aca="false">$B80*C80</f>
        <v>3132</v>
      </c>
      <c r="R80" s="14" t="n">
        <f aca="false">$B80*D80</f>
        <v>870</v>
      </c>
      <c r="S80" s="14" t="n">
        <f aca="false">$B80*E80</f>
        <v>0</v>
      </c>
      <c r="T80" s="14" t="n">
        <f aca="false">$B80*F80</f>
        <v>0</v>
      </c>
      <c r="U80" s="14" t="n">
        <f aca="false">$B80*G80</f>
        <v>0</v>
      </c>
      <c r="V80" s="14" t="n">
        <f aca="false">$B80*H80</f>
        <v>0</v>
      </c>
      <c r="W80" s="14" t="n">
        <f aca="false">$B80*I80</f>
        <v>0</v>
      </c>
      <c r="X80" s="14" t="n">
        <f aca="false">$B80*J80</f>
        <v>0</v>
      </c>
      <c r="Y80" s="14" t="n">
        <f aca="false">$B80*K80</f>
        <v>0</v>
      </c>
      <c r="Z80" s="14" t="n">
        <f aca="false">$B80*L80</f>
        <v>0</v>
      </c>
      <c r="AA80" s="14" t="n">
        <f aca="false">$B80*M80</f>
        <v>0</v>
      </c>
      <c r="AB80" s="14" t="n">
        <f aca="false">$B80*N80</f>
        <v>0</v>
      </c>
      <c r="AC80" s="14" t="n">
        <f aca="false">$B80*O80</f>
        <v>0</v>
      </c>
      <c r="AD80" s="14" t="n">
        <f aca="false">$B80*P80</f>
        <v>0</v>
      </c>
    </row>
    <row r="81" customFormat="false" ht="15" hidden="false" customHeight="false" outlineLevel="0" collapsed="false">
      <c r="A81" s="6" t="s">
        <v>116</v>
      </c>
      <c r="B81" s="16" t="n">
        <v>86</v>
      </c>
      <c r="C81" s="7" t="n">
        <f aca="false">IFERROR(INDEX(Détail!$E$5:$E$31,MATCH("Plafond métal",Détail!$B$5:$B$31,0)),0)</f>
        <v>35</v>
      </c>
      <c r="D81" s="7" t="n">
        <f aca="false">IFERROR(INDEX(Détail!$F$5:$F$31,MATCH("Plafond métal",Détail!$B$5:$B$31,0)),0)</f>
        <v>10</v>
      </c>
      <c r="E81" s="7" t="n">
        <f aca="false">IFERROR(INDEX(Détail!$G$5:$G$31,MATCH("Plafond métal",Détail!$B$5:$B$31,0)),0)</f>
        <v>0</v>
      </c>
      <c r="F81" s="7" t="n">
        <f aca="false">IFERROR(INDEX(Détail!$H$5:$H$31,MATCH("Plafond métal",Détail!$B$5:$B$31,0)),0)</f>
        <v>0</v>
      </c>
      <c r="G81" s="7" t="n">
        <f aca="false">IFERROR(INDEX(Détail!$I$5:$I$31,MATCH("Plafond métal",Détail!$B$5:$B$31,0)),0)</f>
        <v>0</v>
      </c>
      <c r="H81" s="7" t="n">
        <f aca="false">IFERROR(INDEX(Détail!$J$5:$J$31,MATCH("Plafond métal",Détail!$B$5:$B$31,0)),0)</f>
        <v>0</v>
      </c>
      <c r="I81" s="7" t="n">
        <f aca="false">IFERROR(INDEX(Détail!$K$5:$K$31,MATCH("Plafond métal",Détail!$B$5:$B$31,0)),0)</f>
        <v>0</v>
      </c>
      <c r="J81" s="7" t="n">
        <f aca="false">IFERROR(INDEX(Détail!$L$5:$L$31,MATCH("Plafond métal",Détail!$B$5:$B$31,0)),0)</f>
        <v>0</v>
      </c>
      <c r="K81" s="7" t="n">
        <f aca="false">IFERROR(INDEX(Détail!$M$5:$M$31,MATCH("Plafond métal",Détail!$B$5:$B$31,0)),0)</f>
        <v>0</v>
      </c>
      <c r="L81" s="7" t="n">
        <f aca="false">IFERROR(INDEX(Détail!$N$5:$N$31,MATCH("Plafond métal",Détail!$B$5:$B$31,0)),0)</f>
        <v>0</v>
      </c>
      <c r="M81" s="7" t="n">
        <f aca="false">IFERROR(INDEX(Détail!$O$5:$O$31,MATCH("Plafond métal",Détail!$B$5:$B$31,0)),0)</f>
        <v>0</v>
      </c>
      <c r="N81" s="7" t="n">
        <f aca="false">IFERROR(INDEX(Détail!$P$5:$P$31,MATCH("Plafond métal",Détail!$B$5:$B$31,0)),0)</f>
        <v>0</v>
      </c>
      <c r="O81" s="7" t="n">
        <f aca="false">IFERROR(INDEX(Détail!$Q$5:$Q$31,MATCH("Plafond métal",Détail!$B$5:$B$31,0)),0)</f>
        <v>0</v>
      </c>
      <c r="P81" s="7" t="n">
        <f aca="false">IFERROR(INDEX(Détail!$R$5:$R$31,MATCH("Plafond métal",Détail!$B$5:$B$31,0)),0)</f>
        <v>0</v>
      </c>
      <c r="Q81" s="14" t="n">
        <f aca="false">$B81*C81</f>
        <v>3010</v>
      </c>
      <c r="R81" s="14" t="n">
        <f aca="false">$B81*D81</f>
        <v>860</v>
      </c>
      <c r="S81" s="14" t="n">
        <f aca="false">$B81*E81</f>
        <v>0</v>
      </c>
      <c r="T81" s="14" t="n">
        <f aca="false">$B81*F81</f>
        <v>0</v>
      </c>
      <c r="U81" s="14" t="n">
        <f aca="false">$B81*G81</f>
        <v>0</v>
      </c>
      <c r="V81" s="14" t="n">
        <f aca="false">$B81*H81</f>
        <v>0</v>
      </c>
      <c r="W81" s="14" t="n">
        <f aca="false">$B81*I81</f>
        <v>0</v>
      </c>
      <c r="X81" s="14" t="n">
        <f aca="false">$B81*J81</f>
        <v>0</v>
      </c>
      <c r="Y81" s="14" t="n">
        <f aca="false">$B81*K81</f>
        <v>0</v>
      </c>
      <c r="Z81" s="14" t="n">
        <f aca="false">$B81*L81</f>
        <v>0</v>
      </c>
      <c r="AA81" s="14" t="n">
        <f aca="false">$B81*M81</f>
        <v>0</v>
      </c>
      <c r="AB81" s="14" t="n">
        <f aca="false">$B81*N81</f>
        <v>0</v>
      </c>
      <c r="AC81" s="14" t="n">
        <f aca="false">$B81*O81</f>
        <v>0</v>
      </c>
      <c r="AD81" s="14" t="n">
        <f aca="false">$B81*P81</f>
        <v>0</v>
      </c>
    </row>
    <row r="82" customFormat="false" ht="15" hidden="false" customHeight="false" outlineLevel="0" collapsed="false">
      <c r="A82" s="6" t="s">
        <v>114</v>
      </c>
      <c r="B82" s="16" t="n">
        <v>50</v>
      </c>
      <c r="C82" s="7" t="n">
        <f aca="false">IFERROR(INDEX(Détail!$E$5:$E$31,MATCH("Mur métal",Détail!$B$5:$B$31,0)),0)</f>
        <v>25</v>
      </c>
      <c r="D82" s="7" t="n">
        <f aca="false">IFERROR(INDEX(Détail!$F$5:$F$31,MATCH("Mur métal",Détail!$B$5:$B$31,0)),0)</f>
        <v>7</v>
      </c>
      <c r="E82" s="7" t="n">
        <f aca="false">IFERROR(INDEX(Détail!$G$5:$G$31,MATCH("Mur métal",Détail!$B$5:$B$31,0)),0)</f>
        <v>0</v>
      </c>
      <c r="F82" s="7" t="n">
        <f aca="false">IFERROR(INDEX(Détail!$H$5:$H$31,MATCH("Mur métal",Détail!$B$5:$B$31,0)),0)</f>
        <v>0</v>
      </c>
      <c r="G82" s="7" t="n">
        <f aca="false">IFERROR(INDEX(Détail!$I$5:$I$31,MATCH("Mur métal",Détail!$B$5:$B$31,0)),0)</f>
        <v>0</v>
      </c>
      <c r="H82" s="7" t="n">
        <f aca="false">IFERROR(INDEX(Détail!$J$5:$J$31,MATCH("Mur métal",Détail!$B$5:$B$31,0)),0)</f>
        <v>0</v>
      </c>
      <c r="I82" s="7" t="n">
        <f aca="false">IFERROR(INDEX(Détail!$K$5:$K$31,MATCH("Mur métal",Détail!$B$5:$B$31,0)),0)</f>
        <v>0</v>
      </c>
      <c r="J82" s="7" t="n">
        <f aca="false">IFERROR(INDEX(Détail!$L$5:$L$31,MATCH("Mur métal",Détail!$B$5:$B$31,0)),0)</f>
        <v>0</v>
      </c>
      <c r="K82" s="7" t="n">
        <f aca="false">IFERROR(INDEX(Détail!$M$5:$M$31,MATCH("Mur métal",Détail!$B$5:$B$31,0)),0)</f>
        <v>0</v>
      </c>
      <c r="L82" s="7" t="n">
        <f aca="false">IFERROR(INDEX(Détail!$N$5:$N$31,MATCH("Mur métal",Détail!$B$5:$B$31,0)),0)</f>
        <v>0</v>
      </c>
      <c r="M82" s="7" t="n">
        <f aca="false">IFERROR(INDEX(Détail!$O$5:$O$31,MATCH("Mur métal",Détail!$B$5:$B$31,0)),0)</f>
        <v>0</v>
      </c>
      <c r="N82" s="7" t="n">
        <f aca="false">IFERROR(INDEX(Détail!$P$5:$P$31,MATCH("Mur métal",Détail!$B$5:$B$31,0)),0)</f>
        <v>0</v>
      </c>
      <c r="O82" s="7" t="n">
        <f aca="false">IFERROR(INDEX(Détail!$Q$5:$Q$31,MATCH("Mur métal",Détail!$B$5:$B$31,0)),0)</f>
        <v>0</v>
      </c>
      <c r="P82" s="7" t="n">
        <f aca="false">IFERROR(INDEX(Détail!$R$5:$R$31,MATCH("Mur métal",Détail!$B$5:$B$31,0)),0)</f>
        <v>0</v>
      </c>
      <c r="Q82" s="14" t="n">
        <f aca="false">$B82*C82</f>
        <v>1250</v>
      </c>
      <c r="R82" s="14" t="n">
        <f aca="false">$B82*D82</f>
        <v>350</v>
      </c>
      <c r="S82" s="14" t="n">
        <f aca="false">$B82*E82</f>
        <v>0</v>
      </c>
      <c r="T82" s="14" t="n">
        <f aca="false">$B82*F82</f>
        <v>0</v>
      </c>
      <c r="U82" s="14" t="n">
        <f aca="false">$B82*G82</f>
        <v>0</v>
      </c>
      <c r="V82" s="14" t="n">
        <f aca="false">$B82*H82</f>
        <v>0</v>
      </c>
      <c r="W82" s="14" t="n">
        <f aca="false">$B82*I82</f>
        <v>0</v>
      </c>
      <c r="X82" s="14" t="n">
        <f aca="false">$B82*J82</f>
        <v>0</v>
      </c>
      <c r="Y82" s="14" t="n">
        <f aca="false">$B82*K82</f>
        <v>0</v>
      </c>
      <c r="Z82" s="14" t="n">
        <f aca="false">$B82*L82</f>
        <v>0</v>
      </c>
      <c r="AA82" s="14" t="n">
        <f aca="false">$B82*M82</f>
        <v>0</v>
      </c>
      <c r="AB82" s="14" t="n">
        <f aca="false">$B82*N82</f>
        <v>0</v>
      </c>
      <c r="AC82" s="14" t="n">
        <f aca="false">$B82*O82</f>
        <v>0</v>
      </c>
      <c r="AD82" s="14" t="n">
        <f aca="false">$B82*P82</f>
        <v>0</v>
      </c>
    </row>
    <row r="83" customFormat="false" ht="15" hidden="false" customHeight="false" outlineLevel="0" collapsed="false">
      <c r="A83" s="6" t="s">
        <v>102</v>
      </c>
      <c r="B83" s="16" t="n">
        <v>24</v>
      </c>
      <c r="C83" s="7" t="n">
        <f aca="false">IFERROR(INDEX(Détail!$E$5:$E$31,MATCH("Pilier métal",Détail!$B$5:$B$31,0)),0)</f>
        <v>25</v>
      </c>
      <c r="D83" s="7" t="n">
        <f aca="false">IFERROR(INDEX(Détail!$F$5:$F$31,MATCH("Pilier métal",Détail!$B$5:$B$31,0)),0)</f>
        <v>7</v>
      </c>
      <c r="E83" s="7" t="n">
        <f aca="false">IFERROR(INDEX(Détail!$G$5:$G$31,MATCH("Pilier métal",Détail!$B$5:$B$31,0)),0)</f>
        <v>0</v>
      </c>
      <c r="F83" s="7" t="n">
        <f aca="false">IFERROR(INDEX(Détail!$H$5:$H$31,MATCH("Pilier métal",Détail!$B$5:$B$31,0)),0)</f>
        <v>0</v>
      </c>
      <c r="G83" s="7" t="n">
        <f aca="false">IFERROR(INDEX(Détail!$I$5:$I$31,MATCH("Pilier métal",Détail!$B$5:$B$31,0)),0)</f>
        <v>0</v>
      </c>
      <c r="H83" s="7" t="n">
        <f aca="false">IFERROR(INDEX(Détail!$J$5:$J$31,MATCH("Pilier métal",Détail!$B$5:$B$31,0)),0)</f>
        <v>0</v>
      </c>
      <c r="I83" s="7" t="n">
        <f aca="false">IFERROR(INDEX(Détail!$K$5:$K$31,MATCH("Pilier métal",Détail!$B$5:$B$31,0)),0)</f>
        <v>0</v>
      </c>
      <c r="J83" s="7" t="n">
        <f aca="false">IFERROR(INDEX(Détail!$L$5:$L$31,MATCH("Pilier métal",Détail!$B$5:$B$31,0)),0)</f>
        <v>0</v>
      </c>
      <c r="K83" s="7" t="n">
        <f aca="false">IFERROR(INDEX(Détail!$M$5:$M$31,MATCH("Pilier métal",Détail!$B$5:$B$31,0)),0)</f>
        <v>0</v>
      </c>
      <c r="L83" s="7" t="n">
        <f aca="false">IFERROR(INDEX(Détail!$N$5:$N$31,MATCH("Pilier métal",Détail!$B$5:$B$31,0)),0)</f>
        <v>0</v>
      </c>
      <c r="M83" s="7" t="n">
        <f aca="false">IFERROR(INDEX(Détail!$O$5:$O$31,MATCH("Pilier métal",Détail!$B$5:$B$31,0)),0)</f>
        <v>0</v>
      </c>
      <c r="N83" s="7" t="n">
        <f aca="false">IFERROR(INDEX(Détail!$P$5:$P$31,MATCH("Pilier métal",Détail!$B$5:$B$31,0)),0)</f>
        <v>0</v>
      </c>
      <c r="O83" s="7" t="n">
        <f aca="false">IFERROR(INDEX(Détail!$Q$5:$Q$31,MATCH("Pilier métal",Détail!$B$5:$B$31,0)),0)</f>
        <v>0</v>
      </c>
      <c r="P83" s="7" t="n">
        <f aca="false">IFERROR(INDEX(Détail!$R$5:$R$31,MATCH("Pilier métal",Détail!$B$5:$B$31,0)),0)</f>
        <v>0</v>
      </c>
      <c r="Q83" s="14" t="n">
        <f aca="false">$B83*C83</f>
        <v>600</v>
      </c>
      <c r="R83" s="14" t="n">
        <f aca="false">$B83*D83</f>
        <v>168</v>
      </c>
      <c r="S83" s="14" t="n">
        <f aca="false">$B83*E83</f>
        <v>0</v>
      </c>
      <c r="T83" s="14" t="n">
        <f aca="false">$B83*F83</f>
        <v>0</v>
      </c>
      <c r="U83" s="14" t="n">
        <f aca="false">$B83*G83</f>
        <v>0</v>
      </c>
      <c r="V83" s="14" t="n">
        <f aca="false">$B83*H83</f>
        <v>0</v>
      </c>
      <c r="W83" s="14" t="n">
        <f aca="false">$B83*I83</f>
        <v>0</v>
      </c>
      <c r="X83" s="14" t="n">
        <f aca="false">$B83*J83</f>
        <v>0</v>
      </c>
      <c r="Y83" s="14" t="n">
        <f aca="false">$B83*K83</f>
        <v>0</v>
      </c>
      <c r="Z83" s="14" t="n">
        <f aca="false">$B83*L83</f>
        <v>0</v>
      </c>
      <c r="AA83" s="14" t="n">
        <f aca="false">$B83*M83</f>
        <v>0</v>
      </c>
      <c r="AB83" s="14" t="n">
        <f aca="false">$B83*N83</f>
        <v>0</v>
      </c>
      <c r="AC83" s="14" t="n">
        <f aca="false">$B83*O83</f>
        <v>0</v>
      </c>
      <c r="AD83" s="14" t="n">
        <f aca="false">$B83*P83</f>
        <v>0</v>
      </c>
    </row>
    <row r="84" customFormat="false" ht="15" hidden="false" customHeight="false" outlineLevel="0" collapsed="false">
      <c r="A84" s="6" t="s">
        <v>120</v>
      </c>
      <c r="B84" s="16" t="n">
        <v>1</v>
      </c>
      <c r="C84" s="7" t="n">
        <f aca="false">IFERROR(INDEX(Détail!$E$5:$E$31,MATCH("Plafond à trappe métal",Détail!$B$5:$B$31,0)),0)</f>
        <v>35</v>
      </c>
      <c r="D84" s="7" t="n">
        <f aca="false">IFERROR(INDEX(Détail!$F$5:$F$31,MATCH("Plafond à trappe métal",Détail!$B$5:$B$31,0)),0)</f>
        <v>10</v>
      </c>
      <c r="E84" s="7" t="n">
        <f aca="false">IFERROR(INDEX(Détail!$G$5:$G$31,MATCH("Plafond à trappe métal",Détail!$B$5:$B$31,0)),0)</f>
        <v>0</v>
      </c>
      <c r="F84" s="7" t="n">
        <f aca="false">IFERROR(INDEX(Détail!$H$5:$H$31,MATCH("Plafond à trappe métal",Détail!$B$5:$B$31,0)),0)</f>
        <v>0</v>
      </c>
      <c r="G84" s="7" t="n">
        <f aca="false">IFERROR(INDEX(Détail!$I$5:$I$31,MATCH("Plafond à trappe métal",Détail!$B$5:$B$31,0)),0)</f>
        <v>0</v>
      </c>
      <c r="H84" s="7" t="n">
        <f aca="false">IFERROR(INDEX(Détail!$J$5:$J$31,MATCH("Plafond à trappe métal",Détail!$B$5:$B$31,0)),0)</f>
        <v>0</v>
      </c>
      <c r="I84" s="7" t="n">
        <f aca="false">IFERROR(INDEX(Détail!$K$5:$K$31,MATCH("Plafond à trappe métal",Détail!$B$5:$B$31,0)),0)</f>
        <v>0</v>
      </c>
      <c r="J84" s="7" t="n">
        <f aca="false">IFERROR(INDEX(Détail!$L$5:$L$31,MATCH("Plafond à trappe métal",Détail!$B$5:$B$31,0)),0)</f>
        <v>0</v>
      </c>
      <c r="K84" s="7" t="n">
        <f aca="false">IFERROR(INDEX(Détail!$M$5:$M$31,MATCH("Plafond à trappe métal",Détail!$B$5:$B$31,0)),0)</f>
        <v>0</v>
      </c>
      <c r="L84" s="7" t="n">
        <f aca="false">IFERROR(INDEX(Détail!$N$5:$N$31,MATCH("Plafond à trappe métal",Détail!$B$5:$B$31,0)),0)</f>
        <v>0</v>
      </c>
      <c r="M84" s="7" t="n">
        <f aca="false">IFERROR(INDEX(Détail!$O$5:$O$31,MATCH("Plafond à trappe métal",Détail!$B$5:$B$31,0)),0)</f>
        <v>0</v>
      </c>
      <c r="N84" s="7" t="n">
        <f aca="false">IFERROR(INDEX(Détail!$P$5:$P$31,MATCH("Plafond à trappe métal",Détail!$B$5:$B$31,0)),0)</f>
        <v>0</v>
      </c>
      <c r="O84" s="7" t="n">
        <f aca="false">IFERROR(INDEX(Détail!$Q$5:$Q$31,MATCH("Plafond à trappe métal",Détail!$B$5:$B$31,0)),0)</f>
        <v>0</v>
      </c>
      <c r="P84" s="7" t="n">
        <f aca="false">IFERROR(INDEX(Détail!$R$5:$R$31,MATCH("Plafond à trappe métal",Détail!$B$5:$B$31,0)),0)</f>
        <v>0</v>
      </c>
      <c r="Q84" s="14" t="n">
        <f aca="false">$B84*C84</f>
        <v>35</v>
      </c>
      <c r="R84" s="14" t="n">
        <f aca="false">$B84*D84</f>
        <v>10</v>
      </c>
      <c r="S84" s="14" t="n">
        <f aca="false">$B84*E84</f>
        <v>0</v>
      </c>
      <c r="T84" s="14" t="n">
        <f aca="false">$B84*F84</f>
        <v>0</v>
      </c>
      <c r="U84" s="14" t="n">
        <f aca="false">$B84*G84</f>
        <v>0</v>
      </c>
      <c r="V84" s="14" t="n">
        <f aca="false">$B84*H84</f>
        <v>0</v>
      </c>
      <c r="W84" s="14" t="n">
        <f aca="false">$B84*I84</f>
        <v>0</v>
      </c>
      <c r="X84" s="14" t="n">
        <f aca="false">$B84*J84</f>
        <v>0</v>
      </c>
      <c r="Y84" s="14" t="n">
        <f aca="false">$B84*K84</f>
        <v>0</v>
      </c>
      <c r="Z84" s="14" t="n">
        <f aca="false">$B84*L84</f>
        <v>0</v>
      </c>
      <c r="AA84" s="14" t="n">
        <f aca="false">$B84*M84</f>
        <v>0</v>
      </c>
      <c r="AB84" s="14" t="n">
        <f aca="false">$B84*N84</f>
        <v>0</v>
      </c>
      <c r="AC84" s="14" t="n">
        <f aca="false">$B84*O84</f>
        <v>0</v>
      </c>
      <c r="AD84" s="14" t="n">
        <f aca="false">$B84*P84</f>
        <v>0</v>
      </c>
    </row>
    <row r="85" customFormat="false" ht="15" hidden="false" customHeight="false" outlineLevel="0" collapsed="false">
      <c r="A85" s="8" t="s">
        <v>99</v>
      </c>
      <c r="B85" s="9" t="n">
        <f aca="false">SUM(B80:B84)</f>
        <v>335</v>
      </c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9" t="n">
        <f aca="false">SUM(Q80:Q84)</f>
        <v>8027</v>
      </c>
      <c r="R85" s="9" t="n">
        <f aca="false">SUM(R80:R84)</f>
        <v>2258</v>
      </c>
      <c r="S85" s="9" t="n">
        <f aca="false">SUM(S80:S84)</f>
        <v>0</v>
      </c>
      <c r="T85" s="9" t="n">
        <f aca="false">SUM(T80:T84)</f>
        <v>0</v>
      </c>
      <c r="U85" s="9" t="n">
        <f aca="false">SUM(U80:U84)</f>
        <v>0</v>
      </c>
      <c r="V85" s="9" t="n">
        <f aca="false">SUM(V80:V84)</f>
        <v>0</v>
      </c>
      <c r="W85" s="9" t="n">
        <f aca="false">SUM(W80:W84)</f>
        <v>0</v>
      </c>
      <c r="X85" s="9" t="n">
        <f aca="false">SUM(X80:X84)</f>
        <v>0</v>
      </c>
      <c r="Y85" s="9" t="n">
        <f aca="false">SUM(Y80:Y84)</f>
        <v>0</v>
      </c>
      <c r="Z85" s="9" t="n">
        <f aca="false">SUM(Z80:Z84)</f>
        <v>0</v>
      </c>
      <c r="AA85" s="9" t="n">
        <f aca="false">SUM(AA80:AA84)</f>
        <v>0</v>
      </c>
      <c r="AB85" s="9" t="n">
        <f aca="false">SUM(AB80:AB84)</f>
        <v>0</v>
      </c>
      <c r="AC85" s="9" t="n">
        <f aca="false">SUM(AC80:AC84)</f>
        <v>0</v>
      </c>
      <c r="AD85" s="9" t="n">
        <f aca="false">SUM(AD80:AD84)</f>
        <v>0</v>
      </c>
    </row>
    <row r="86" customFormat="false" ht="15" hidden="false" customHeight="false" outlineLevel="0" collapsed="false">
      <c r="A86" s="8" t="s">
        <v>36</v>
      </c>
      <c r="B86" s="9" t="n">
        <f aca="false">SUM(B80:B84)-SUMIF(A80:A84,"* (inventaire)",B80:B84)</f>
        <v>335</v>
      </c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9" t="n">
        <f aca="false">SUM(Q80:Q84)-SUMIF(A80:A84,"* (inventaire)",Q80:Q84)</f>
        <v>8027</v>
      </c>
      <c r="R86" s="9" t="n">
        <f aca="false">SUM(R80:R84)-SUMIF(A80:A84,"* (inventaire)",R80:R84)</f>
        <v>2258</v>
      </c>
      <c r="S86" s="9" t="n">
        <f aca="false">SUM(S80:S84)-SUMIF(A80:A84,"* (inventaire)",S80:S84)</f>
        <v>0</v>
      </c>
      <c r="T86" s="9" t="n">
        <f aca="false">SUM(T80:T84)-SUMIF(A80:A84,"* (inventaire)",T80:T84)</f>
        <v>0</v>
      </c>
      <c r="U86" s="9" t="n">
        <f aca="false">SUM(U80:U84)-SUMIF(A80:A84,"* (inventaire)",U80:U84)</f>
        <v>0</v>
      </c>
      <c r="V86" s="9" t="n">
        <f aca="false">SUM(V80:V84)-SUMIF(A80:A84,"* (inventaire)",V80:V84)</f>
        <v>0</v>
      </c>
      <c r="W86" s="9" t="n">
        <f aca="false">SUM(W80:W84)-SUMIF(A80:A84,"* (inventaire)",W80:W84)</f>
        <v>0</v>
      </c>
      <c r="X86" s="9" t="n">
        <f aca="false">SUM(X80:X84)-SUMIF(A80:A84,"* (inventaire)",X80:X84)</f>
        <v>0</v>
      </c>
      <c r="Y86" s="9" t="n">
        <f aca="false">SUM(Y80:Y84)-SUMIF(A80:A84,"* (inventaire)",Y80:Y84)</f>
        <v>0</v>
      </c>
      <c r="Z86" s="9" t="n">
        <f aca="false">SUM(Z80:Z84)-SUMIF(A80:A84,"* (inventaire)",Z80:Z84)</f>
        <v>0</v>
      </c>
      <c r="AA86" s="9" t="n">
        <f aca="false">SUM(AA80:AA84)-SUMIF(A80:A84,"* (inventaire)",AA80:AA84)</f>
        <v>0</v>
      </c>
      <c r="AB86" s="9" t="n">
        <f aca="false">SUM(AB80:AB84)-SUMIF(A80:A84,"* (inventaire)",AB80:AB84)</f>
        <v>0</v>
      </c>
      <c r="AC86" s="9" t="n">
        <f aca="false">SUM(AC80:AC84)-SUMIF(A80:A84,"* (inventaire)",AC80:AC84)</f>
        <v>0</v>
      </c>
      <c r="AD86" s="9" t="n">
        <f aca="false">SUM(AD80:AD84)-SUMIF(A80:A84,"* (inventaire)",AD80:AD84)</f>
        <v>0</v>
      </c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5" hidden="false" customHeight="false" outlineLevel="0" collapsed="false">
      <c r="A88" s="15" t="s">
        <v>132</v>
      </c>
      <c r="B88" s="2"/>
      <c r="C88" s="3" t="s">
        <v>133</v>
      </c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30" hidden="false" customHeight="true" outlineLevel="0" collapsed="false">
      <c r="A89" s="11" t="s">
        <v>67</v>
      </c>
      <c r="B89" s="11" t="s">
        <v>68</v>
      </c>
      <c r="C89" s="11" t="s">
        <v>69</v>
      </c>
      <c r="D89" s="11" t="s">
        <v>70</v>
      </c>
      <c r="E89" s="11" t="s">
        <v>71</v>
      </c>
      <c r="F89" s="11" t="s">
        <v>72</v>
      </c>
      <c r="G89" s="11" t="s">
        <v>73</v>
      </c>
      <c r="H89" s="11" t="s">
        <v>74</v>
      </c>
      <c r="I89" s="11" t="s">
        <v>75</v>
      </c>
      <c r="J89" s="11" t="s">
        <v>76</v>
      </c>
      <c r="K89" s="11" t="s">
        <v>77</v>
      </c>
      <c r="L89" s="11" t="s">
        <v>78</v>
      </c>
      <c r="M89" s="11" t="s">
        <v>79</v>
      </c>
      <c r="N89" s="11" t="s">
        <v>80</v>
      </c>
      <c r="O89" s="11" t="s">
        <v>81</v>
      </c>
      <c r="P89" s="11" t="s">
        <v>82</v>
      </c>
      <c r="Q89" s="11" t="s">
        <v>83</v>
      </c>
      <c r="R89" s="11" t="s">
        <v>84</v>
      </c>
      <c r="S89" s="11" t="s">
        <v>85</v>
      </c>
      <c r="T89" s="11" t="s">
        <v>86</v>
      </c>
      <c r="U89" s="11" t="s">
        <v>87</v>
      </c>
      <c r="V89" s="11" t="s">
        <v>88</v>
      </c>
      <c r="W89" s="11" t="s">
        <v>89</v>
      </c>
      <c r="X89" s="11" t="s">
        <v>90</v>
      </c>
      <c r="Y89" s="11" t="s">
        <v>91</v>
      </c>
      <c r="Z89" s="11" t="s">
        <v>92</v>
      </c>
      <c r="AA89" s="11" t="s">
        <v>93</v>
      </c>
      <c r="AB89" s="11" t="s">
        <v>94</v>
      </c>
      <c r="AC89" s="11" t="s">
        <v>95</v>
      </c>
      <c r="AD89" s="11" t="s">
        <v>96</v>
      </c>
    </row>
    <row r="90" customFormat="false" ht="15" hidden="false" customHeight="false" outlineLevel="0" collapsed="false">
      <c r="A90" s="6" t="s">
        <v>107</v>
      </c>
      <c r="B90" s="16" t="n">
        <v>288</v>
      </c>
      <c r="C90" s="7" t="n">
        <f aca="false">IFERROR(INDEX(Détail!$E$5:$E$31,MATCH("Pilier fin métal (Thin Pillar)",Détail!$B$5:$B$31,0)),0)</f>
        <v>13</v>
      </c>
      <c r="D90" s="7" t="n">
        <f aca="false">IFERROR(INDEX(Détail!$F$5:$F$31,MATCH("Pilier fin métal (Thin Pillar)",Détail!$B$5:$B$31,0)),0)</f>
        <v>4</v>
      </c>
      <c r="E90" s="7" t="n">
        <f aca="false">IFERROR(INDEX(Détail!$G$5:$G$31,MATCH("Pilier fin métal (Thin Pillar)",Détail!$B$5:$B$31,0)),0)</f>
        <v>0</v>
      </c>
      <c r="F90" s="7" t="n">
        <f aca="false">IFERROR(INDEX(Détail!$H$5:$H$31,MATCH("Pilier fin métal (Thin Pillar)",Détail!$B$5:$B$31,0)),0)</f>
        <v>0</v>
      </c>
      <c r="G90" s="7" t="n">
        <f aca="false">IFERROR(INDEX(Détail!$I$5:$I$31,MATCH("Pilier fin métal (Thin Pillar)",Détail!$B$5:$B$31,0)),0)</f>
        <v>0</v>
      </c>
      <c r="H90" s="7" t="n">
        <f aca="false">IFERROR(INDEX(Détail!$J$5:$J$31,MATCH("Pilier fin métal (Thin Pillar)",Détail!$B$5:$B$31,0)),0)</f>
        <v>0</v>
      </c>
      <c r="I90" s="7" t="n">
        <f aca="false">IFERROR(INDEX(Détail!$K$5:$K$31,MATCH("Pilier fin métal (Thin Pillar)",Détail!$B$5:$B$31,0)),0)</f>
        <v>0</v>
      </c>
      <c r="J90" s="7" t="n">
        <f aca="false">IFERROR(INDEX(Détail!$L$5:$L$31,MATCH("Pilier fin métal (Thin Pillar)",Détail!$B$5:$B$31,0)),0)</f>
        <v>0</v>
      </c>
      <c r="K90" s="7" t="n">
        <f aca="false">IFERROR(INDEX(Détail!$M$5:$M$31,MATCH("Pilier fin métal (Thin Pillar)",Détail!$B$5:$B$31,0)),0)</f>
        <v>0</v>
      </c>
      <c r="L90" s="7" t="n">
        <f aca="false">IFERROR(INDEX(Détail!$N$5:$N$31,MATCH("Pilier fin métal (Thin Pillar)",Détail!$B$5:$B$31,0)),0)</f>
        <v>0</v>
      </c>
      <c r="M90" s="7" t="n">
        <f aca="false">IFERROR(INDEX(Détail!$O$5:$O$31,MATCH("Pilier fin métal (Thin Pillar)",Détail!$B$5:$B$31,0)),0)</f>
        <v>0</v>
      </c>
      <c r="N90" s="7" t="n">
        <f aca="false">IFERROR(INDEX(Détail!$P$5:$P$31,MATCH("Pilier fin métal (Thin Pillar)",Détail!$B$5:$B$31,0)),0)</f>
        <v>0</v>
      </c>
      <c r="O90" s="7" t="n">
        <f aca="false">IFERROR(INDEX(Détail!$Q$5:$Q$31,MATCH("Pilier fin métal (Thin Pillar)",Détail!$B$5:$B$31,0)),0)</f>
        <v>0</v>
      </c>
      <c r="P90" s="7" t="n">
        <f aca="false">IFERROR(INDEX(Détail!$R$5:$R$31,MATCH("Pilier fin métal (Thin Pillar)",Détail!$B$5:$B$31,0)),0)</f>
        <v>0</v>
      </c>
      <c r="Q90" s="14" t="n">
        <f aca="false">$B90*C90</f>
        <v>3744</v>
      </c>
      <c r="R90" s="14" t="n">
        <f aca="false">$B90*D90</f>
        <v>1152</v>
      </c>
      <c r="S90" s="14" t="n">
        <f aca="false">$B90*E90</f>
        <v>0</v>
      </c>
      <c r="T90" s="14" t="n">
        <f aca="false">$B90*F90</f>
        <v>0</v>
      </c>
      <c r="U90" s="14" t="n">
        <f aca="false">$B90*G90</f>
        <v>0</v>
      </c>
      <c r="V90" s="14" t="n">
        <f aca="false">$B90*H90</f>
        <v>0</v>
      </c>
      <c r="W90" s="14" t="n">
        <f aca="false">$B90*I90</f>
        <v>0</v>
      </c>
      <c r="X90" s="14" t="n">
        <f aca="false">$B90*J90</f>
        <v>0</v>
      </c>
      <c r="Y90" s="14" t="n">
        <f aca="false">$B90*K90</f>
        <v>0</v>
      </c>
      <c r="Z90" s="14" t="n">
        <f aca="false">$B90*L90</f>
        <v>0</v>
      </c>
      <c r="AA90" s="14" t="n">
        <f aca="false">$B90*M90</f>
        <v>0</v>
      </c>
      <c r="AB90" s="14" t="n">
        <f aca="false">$B90*N90</f>
        <v>0</v>
      </c>
      <c r="AC90" s="14" t="n">
        <f aca="false">$B90*O90</f>
        <v>0</v>
      </c>
      <c r="AD90" s="14" t="n">
        <f aca="false">$B90*P90</f>
        <v>0</v>
      </c>
    </row>
    <row r="91" customFormat="false" ht="15" hidden="false" customHeight="false" outlineLevel="0" collapsed="false">
      <c r="A91" s="6" t="s">
        <v>105</v>
      </c>
      <c r="B91" s="16" t="n">
        <v>178</v>
      </c>
      <c r="C91" s="7" t="n">
        <f aca="false">IFERROR(INDEX(Détail!$E$5:$E$31,MATCH("Rampe inclinée métal (Sloped Railing)",Détail!$B$5:$B$31,0)),0)</f>
        <v>12</v>
      </c>
      <c r="D91" s="7" t="n">
        <f aca="false">IFERROR(INDEX(Détail!$F$5:$F$31,MATCH("Rampe inclinée métal (Sloped Railing)",Détail!$B$5:$B$31,0)),0)</f>
        <v>3</v>
      </c>
      <c r="E91" s="7" t="n">
        <f aca="false">IFERROR(INDEX(Détail!$G$5:$G$31,MATCH("Rampe inclinée métal (Sloped Railing)",Détail!$B$5:$B$31,0)),0)</f>
        <v>0</v>
      </c>
      <c r="F91" s="7" t="n">
        <f aca="false">IFERROR(INDEX(Détail!$H$5:$H$31,MATCH("Rampe inclinée métal (Sloped Railing)",Détail!$B$5:$B$31,0)),0)</f>
        <v>0</v>
      </c>
      <c r="G91" s="7" t="n">
        <f aca="false">IFERROR(INDEX(Détail!$I$5:$I$31,MATCH("Rampe inclinée métal (Sloped Railing)",Détail!$B$5:$B$31,0)),0)</f>
        <v>0</v>
      </c>
      <c r="H91" s="7" t="n">
        <f aca="false">IFERROR(INDEX(Détail!$J$5:$J$31,MATCH("Rampe inclinée métal (Sloped Railing)",Détail!$B$5:$B$31,0)),0)</f>
        <v>0</v>
      </c>
      <c r="I91" s="7" t="n">
        <f aca="false">IFERROR(INDEX(Détail!$K$5:$K$31,MATCH("Rampe inclinée métal (Sloped Railing)",Détail!$B$5:$B$31,0)),0)</f>
        <v>0</v>
      </c>
      <c r="J91" s="7" t="n">
        <f aca="false">IFERROR(INDEX(Détail!$L$5:$L$31,MATCH("Rampe inclinée métal (Sloped Railing)",Détail!$B$5:$B$31,0)),0)</f>
        <v>0</v>
      </c>
      <c r="K91" s="7" t="n">
        <f aca="false">IFERROR(INDEX(Détail!$M$5:$M$31,MATCH("Rampe inclinée métal (Sloped Railing)",Détail!$B$5:$B$31,0)),0)</f>
        <v>0</v>
      </c>
      <c r="L91" s="7" t="n">
        <f aca="false">IFERROR(INDEX(Détail!$N$5:$N$31,MATCH("Rampe inclinée métal (Sloped Railing)",Détail!$B$5:$B$31,0)),0)</f>
        <v>0</v>
      </c>
      <c r="M91" s="7" t="n">
        <f aca="false">IFERROR(INDEX(Détail!$O$5:$O$31,MATCH("Rampe inclinée métal (Sloped Railing)",Détail!$B$5:$B$31,0)),0)</f>
        <v>0</v>
      </c>
      <c r="N91" s="7" t="n">
        <f aca="false">IFERROR(INDEX(Détail!$P$5:$P$31,MATCH("Rampe inclinée métal (Sloped Railing)",Détail!$B$5:$B$31,0)),0)</f>
        <v>0</v>
      </c>
      <c r="O91" s="7" t="n">
        <f aca="false">IFERROR(INDEX(Détail!$Q$5:$Q$31,MATCH("Rampe inclinée métal (Sloped Railing)",Détail!$B$5:$B$31,0)),0)</f>
        <v>0</v>
      </c>
      <c r="P91" s="7" t="n">
        <f aca="false">IFERROR(INDEX(Détail!$R$5:$R$31,MATCH("Rampe inclinée métal (Sloped Railing)",Détail!$B$5:$B$31,0)),0)</f>
        <v>0</v>
      </c>
      <c r="Q91" s="14" t="n">
        <f aca="false">$B91*C91</f>
        <v>2136</v>
      </c>
      <c r="R91" s="14" t="n">
        <f aca="false">$B91*D91</f>
        <v>534</v>
      </c>
      <c r="S91" s="14" t="n">
        <f aca="false">$B91*E91</f>
        <v>0</v>
      </c>
      <c r="T91" s="14" t="n">
        <f aca="false">$B91*F91</f>
        <v>0</v>
      </c>
      <c r="U91" s="14" t="n">
        <f aca="false">$B91*G91</f>
        <v>0</v>
      </c>
      <c r="V91" s="14" t="n">
        <f aca="false">$B91*H91</f>
        <v>0</v>
      </c>
      <c r="W91" s="14" t="n">
        <f aca="false">$B91*I91</f>
        <v>0</v>
      </c>
      <c r="X91" s="14" t="n">
        <f aca="false">$B91*J91</f>
        <v>0</v>
      </c>
      <c r="Y91" s="14" t="n">
        <f aca="false">$B91*K91</f>
        <v>0</v>
      </c>
      <c r="Z91" s="14" t="n">
        <f aca="false">$B91*L91</f>
        <v>0</v>
      </c>
      <c r="AA91" s="14" t="n">
        <f aca="false">$B91*M91</f>
        <v>0</v>
      </c>
      <c r="AB91" s="14" t="n">
        <f aca="false">$B91*N91</f>
        <v>0</v>
      </c>
      <c r="AC91" s="14" t="n">
        <f aca="false">$B91*O91</f>
        <v>0</v>
      </c>
      <c r="AD91" s="14" t="n">
        <f aca="false">$B91*P91</f>
        <v>0</v>
      </c>
    </row>
    <row r="92" customFormat="false" ht="15" hidden="false" customHeight="false" outlineLevel="0" collapsed="false">
      <c r="A92" s="6" t="s">
        <v>114</v>
      </c>
      <c r="B92" s="16" t="n">
        <v>1</v>
      </c>
      <c r="C92" s="7" t="n">
        <f aca="false">IFERROR(INDEX(Détail!$E$5:$E$31,MATCH("Mur métal",Détail!$B$5:$B$31,0)),0)</f>
        <v>25</v>
      </c>
      <c r="D92" s="7" t="n">
        <f aca="false">IFERROR(INDEX(Détail!$F$5:$F$31,MATCH("Mur métal",Détail!$B$5:$B$31,0)),0)</f>
        <v>7</v>
      </c>
      <c r="E92" s="7" t="n">
        <f aca="false">IFERROR(INDEX(Détail!$G$5:$G$31,MATCH("Mur métal",Détail!$B$5:$B$31,0)),0)</f>
        <v>0</v>
      </c>
      <c r="F92" s="7" t="n">
        <f aca="false">IFERROR(INDEX(Détail!$H$5:$H$31,MATCH("Mur métal",Détail!$B$5:$B$31,0)),0)</f>
        <v>0</v>
      </c>
      <c r="G92" s="7" t="n">
        <f aca="false">IFERROR(INDEX(Détail!$I$5:$I$31,MATCH("Mur métal",Détail!$B$5:$B$31,0)),0)</f>
        <v>0</v>
      </c>
      <c r="H92" s="7" t="n">
        <f aca="false">IFERROR(INDEX(Détail!$J$5:$J$31,MATCH("Mur métal",Détail!$B$5:$B$31,0)),0)</f>
        <v>0</v>
      </c>
      <c r="I92" s="7" t="n">
        <f aca="false">IFERROR(INDEX(Détail!$K$5:$K$31,MATCH("Mur métal",Détail!$B$5:$B$31,0)),0)</f>
        <v>0</v>
      </c>
      <c r="J92" s="7" t="n">
        <f aca="false">IFERROR(INDEX(Détail!$L$5:$L$31,MATCH("Mur métal",Détail!$B$5:$B$31,0)),0)</f>
        <v>0</v>
      </c>
      <c r="K92" s="7" t="n">
        <f aca="false">IFERROR(INDEX(Détail!$M$5:$M$31,MATCH("Mur métal",Détail!$B$5:$B$31,0)),0)</f>
        <v>0</v>
      </c>
      <c r="L92" s="7" t="n">
        <f aca="false">IFERROR(INDEX(Détail!$N$5:$N$31,MATCH("Mur métal",Détail!$B$5:$B$31,0)),0)</f>
        <v>0</v>
      </c>
      <c r="M92" s="7" t="n">
        <f aca="false">IFERROR(INDEX(Détail!$O$5:$O$31,MATCH("Mur métal",Détail!$B$5:$B$31,0)),0)</f>
        <v>0</v>
      </c>
      <c r="N92" s="7" t="n">
        <f aca="false">IFERROR(INDEX(Détail!$P$5:$P$31,MATCH("Mur métal",Détail!$B$5:$B$31,0)),0)</f>
        <v>0</v>
      </c>
      <c r="O92" s="7" t="n">
        <f aca="false">IFERROR(INDEX(Détail!$Q$5:$Q$31,MATCH("Mur métal",Détail!$B$5:$B$31,0)),0)</f>
        <v>0</v>
      </c>
      <c r="P92" s="7" t="n">
        <f aca="false">IFERROR(INDEX(Détail!$R$5:$R$31,MATCH("Mur métal",Détail!$B$5:$B$31,0)),0)</f>
        <v>0</v>
      </c>
      <c r="Q92" s="14" t="n">
        <f aca="false">$B92*C92</f>
        <v>25</v>
      </c>
      <c r="R92" s="14" t="n">
        <f aca="false">$B92*D92</f>
        <v>7</v>
      </c>
      <c r="S92" s="14" t="n">
        <f aca="false">$B92*E92</f>
        <v>0</v>
      </c>
      <c r="T92" s="14" t="n">
        <f aca="false">$B92*F92</f>
        <v>0</v>
      </c>
      <c r="U92" s="14" t="n">
        <f aca="false">$B92*G92</f>
        <v>0</v>
      </c>
      <c r="V92" s="14" t="n">
        <f aca="false">$B92*H92</f>
        <v>0</v>
      </c>
      <c r="W92" s="14" t="n">
        <f aca="false">$B92*I92</f>
        <v>0</v>
      </c>
      <c r="X92" s="14" t="n">
        <f aca="false">$B92*J92</f>
        <v>0</v>
      </c>
      <c r="Y92" s="14" t="n">
        <f aca="false">$B92*K92</f>
        <v>0</v>
      </c>
      <c r="Z92" s="14" t="n">
        <f aca="false">$B92*L92</f>
        <v>0</v>
      </c>
      <c r="AA92" s="14" t="n">
        <f aca="false">$B92*M92</f>
        <v>0</v>
      </c>
      <c r="AB92" s="14" t="n">
        <f aca="false">$B92*N92</f>
        <v>0</v>
      </c>
      <c r="AC92" s="14" t="n">
        <f aca="false">$B92*O92</f>
        <v>0</v>
      </c>
      <c r="AD92" s="14" t="n">
        <f aca="false">$B92*P92</f>
        <v>0</v>
      </c>
    </row>
    <row r="93" customFormat="false" ht="15" hidden="false" customHeight="false" outlineLevel="0" collapsed="false">
      <c r="A93" s="8" t="s">
        <v>99</v>
      </c>
      <c r="B93" s="9" t="n">
        <f aca="false">SUM(B90:B92)</f>
        <v>467</v>
      </c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9" t="n">
        <f aca="false">SUM(Q90:Q92)</f>
        <v>5905</v>
      </c>
      <c r="R93" s="9" t="n">
        <f aca="false">SUM(R90:R92)</f>
        <v>1693</v>
      </c>
      <c r="S93" s="9" t="n">
        <f aca="false">SUM(S90:S92)</f>
        <v>0</v>
      </c>
      <c r="T93" s="9" t="n">
        <f aca="false">SUM(T90:T92)</f>
        <v>0</v>
      </c>
      <c r="U93" s="9" t="n">
        <f aca="false">SUM(U90:U92)</f>
        <v>0</v>
      </c>
      <c r="V93" s="9" t="n">
        <f aca="false">SUM(V90:V92)</f>
        <v>0</v>
      </c>
      <c r="W93" s="9" t="n">
        <f aca="false">SUM(W90:W92)</f>
        <v>0</v>
      </c>
      <c r="X93" s="9" t="n">
        <f aca="false">SUM(X90:X92)</f>
        <v>0</v>
      </c>
      <c r="Y93" s="9" t="n">
        <f aca="false">SUM(Y90:Y92)</f>
        <v>0</v>
      </c>
      <c r="Z93" s="9" t="n">
        <f aca="false">SUM(Z90:Z92)</f>
        <v>0</v>
      </c>
      <c r="AA93" s="9" t="n">
        <f aca="false">SUM(AA90:AA92)</f>
        <v>0</v>
      </c>
      <c r="AB93" s="9" t="n">
        <f aca="false">SUM(AB90:AB92)</f>
        <v>0</v>
      </c>
      <c r="AC93" s="9" t="n">
        <f aca="false">SUM(AC90:AC92)</f>
        <v>0</v>
      </c>
      <c r="AD93" s="9" t="n">
        <f aca="false">SUM(AD90:AD92)</f>
        <v>0</v>
      </c>
    </row>
    <row r="94" customFormat="false" ht="15" hidden="false" customHeight="false" outlineLevel="0" collapsed="false">
      <c r="A94" s="8" t="s">
        <v>36</v>
      </c>
      <c r="B94" s="9" t="n">
        <f aca="false">SUM(B90:B92)-SUMIF(A90:A92,"* (inventaire)",B90:B92)</f>
        <v>467</v>
      </c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9" t="n">
        <f aca="false">SUM(Q90:Q92)-SUMIF(A90:A92,"* (inventaire)",Q90:Q92)</f>
        <v>5905</v>
      </c>
      <c r="R94" s="9" t="n">
        <f aca="false">SUM(R90:R92)-SUMIF(A90:A92,"* (inventaire)",R90:R92)</f>
        <v>1693</v>
      </c>
      <c r="S94" s="9" t="n">
        <f aca="false">SUM(S90:S92)-SUMIF(A90:A92,"* (inventaire)",S90:S92)</f>
        <v>0</v>
      </c>
      <c r="T94" s="9" t="n">
        <f aca="false">SUM(T90:T92)-SUMIF(A90:A92,"* (inventaire)",T90:T92)</f>
        <v>0</v>
      </c>
      <c r="U94" s="9" t="n">
        <f aca="false">SUM(U90:U92)-SUMIF(A90:A92,"* (inventaire)",U90:U92)</f>
        <v>0</v>
      </c>
      <c r="V94" s="9" t="n">
        <f aca="false">SUM(V90:V92)-SUMIF(A90:A92,"* (inventaire)",V90:V92)</f>
        <v>0</v>
      </c>
      <c r="W94" s="9" t="n">
        <f aca="false">SUM(W90:W92)-SUMIF(A90:A92,"* (inventaire)",W90:W92)</f>
        <v>0</v>
      </c>
      <c r="X94" s="9" t="n">
        <f aca="false">SUM(X90:X92)-SUMIF(A90:A92,"* (inventaire)",X90:X92)</f>
        <v>0</v>
      </c>
      <c r="Y94" s="9" t="n">
        <f aca="false">SUM(Y90:Y92)-SUMIF(A90:A92,"* (inventaire)",Y90:Y92)</f>
        <v>0</v>
      </c>
      <c r="Z94" s="9" t="n">
        <f aca="false">SUM(Z90:Z92)-SUMIF(A90:A92,"* (inventaire)",Z90:Z92)</f>
        <v>0</v>
      </c>
      <c r="AA94" s="9" t="n">
        <f aca="false">SUM(AA90:AA92)-SUMIF(A90:A92,"* (inventaire)",AA90:AA92)</f>
        <v>0</v>
      </c>
      <c r="AB94" s="9" t="n">
        <f aca="false">SUM(AB90:AB92)-SUMIF(A90:A92,"* (inventaire)",AB90:AB92)</f>
        <v>0</v>
      </c>
      <c r="AC94" s="9" t="n">
        <f aca="false">SUM(AC90:AC92)-SUMIF(A90:A92,"* (inventaire)",AC90:AC92)</f>
        <v>0</v>
      </c>
      <c r="AD94" s="9" t="n">
        <f aca="false">SUM(AD90:AD92)-SUMIF(A90:A92,"* (inventaire)",AD90:AD92)</f>
        <v>0</v>
      </c>
    </row>
    <row r="95" customFormat="false" ht="15" hidden="false" customHeight="fals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5" hidden="false" customHeight="false" outlineLevel="0" collapsed="false">
      <c r="A96" s="15" t="s">
        <v>134</v>
      </c>
      <c r="B96" s="2"/>
      <c r="C96" s="3" t="s">
        <v>135</v>
      </c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30" hidden="false" customHeight="true" outlineLevel="0" collapsed="false">
      <c r="A97" s="11" t="s">
        <v>67</v>
      </c>
      <c r="B97" s="11" t="s">
        <v>68</v>
      </c>
      <c r="C97" s="11" t="s">
        <v>69</v>
      </c>
      <c r="D97" s="11" t="s">
        <v>70</v>
      </c>
      <c r="E97" s="11" t="s">
        <v>71</v>
      </c>
      <c r="F97" s="11" t="s">
        <v>72</v>
      </c>
      <c r="G97" s="11" t="s">
        <v>73</v>
      </c>
      <c r="H97" s="11" t="s">
        <v>74</v>
      </c>
      <c r="I97" s="11" t="s">
        <v>75</v>
      </c>
      <c r="J97" s="11" t="s">
        <v>76</v>
      </c>
      <c r="K97" s="11" t="s">
        <v>77</v>
      </c>
      <c r="L97" s="11" t="s">
        <v>78</v>
      </c>
      <c r="M97" s="11" t="s">
        <v>79</v>
      </c>
      <c r="N97" s="11" t="s">
        <v>80</v>
      </c>
      <c r="O97" s="11" t="s">
        <v>81</v>
      </c>
      <c r="P97" s="11" t="s">
        <v>82</v>
      </c>
      <c r="Q97" s="11" t="s">
        <v>83</v>
      </c>
      <c r="R97" s="11" t="s">
        <v>84</v>
      </c>
      <c r="S97" s="11" t="s">
        <v>85</v>
      </c>
      <c r="T97" s="11" t="s">
        <v>86</v>
      </c>
      <c r="U97" s="11" t="s">
        <v>87</v>
      </c>
      <c r="V97" s="11" t="s">
        <v>88</v>
      </c>
      <c r="W97" s="11" t="s">
        <v>89</v>
      </c>
      <c r="X97" s="11" t="s">
        <v>90</v>
      </c>
      <c r="Y97" s="11" t="s">
        <v>91</v>
      </c>
      <c r="Z97" s="11" t="s">
        <v>92</v>
      </c>
      <c r="AA97" s="11" t="s">
        <v>93</v>
      </c>
      <c r="AB97" s="11" t="s">
        <v>94</v>
      </c>
      <c r="AC97" s="11" t="s">
        <v>95</v>
      </c>
      <c r="AD97" s="11" t="s">
        <v>96</v>
      </c>
    </row>
    <row r="98" customFormat="false" ht="15" hidden="false" customHeight="false" outlineLevel="0" collapsed="false">
      <c r="A98" s="6" t="s">
        <v>126</v>
      </c>
      <c r="B98" s="16" t="n">
        <v>4</v>
      </c>
      <c r="C98" s="7" t="n">
        <f aca="false">IFERROR(INDEX(Détail!$E$5:$E$31,MATCH("Grand carré de culture (Plant Species X)",Détail!$B$5:$B$31,0)),0)</f>
        <v>0</v>
      </c>
      <c r="D98" s="7" t="n">
        <f aca="false">IFERROR(INDEX(Détail!$F$5:$F$31,MATCH("Grand carré de culture (Plant Species X)",Détail!$B$5:$B$31,0)),0)</f>
        <v>0</v>
      </c>
      <c r="E98" s="7" t="n">
        <f aca="false">IFERROR(INDEX(Détail!$G$5:$G$31,MATCH("Grand carré de culture (Plant Species X)",Détail!$B$5:$B$31,0)),0)</f>
        <v>0</v>
      </c>
      <c r="F98" s="7" t="n">
        <f aca="false">IFERROR(INDEX(Détail!$H$5:$H$31,MATCH("Grand carré de culture (Plant Species X)",Détail!$B$5:$B$31,0)),0)</f>
        <v>0</v>
      </c>
      <c r="G98" s="7" t="n">
        <f aca="false">IFERROR(INDEX(Détail!$I$5:$I$31,MATCH("Grand carré de culture (Plant Species X)",Détail!$B$5:$B$31,0)),0)</f>
        <v>0</v>
      </c>
      <c r="H98" s="7" t="n">
        <f aca="false">IFERROR(INDEX(Détail!$J$5:$J$31,MATCH("Grand carré de culture (Plant Species X)",Détail!$B$5:$B$31,0)),0)</f>
        <v>0</v>
      </c>
      <c r="I98" s="7" t="n">
        <f aca="false">IFERROR(INDEX(Détail!$K$5:$K$31,MATCH("Grand carré de culture (Plant Species X)",Détail!$B$5:$B$31,0)),0)</f>
        <v>0</v>
      </c>
      <c r="J98" s="7" t="n">
        <f aca="false">IFERROR(INDEX(Détail!$L$5:$L$31,MATCH("Grand carré de culture (Plant Species X)",Détail!$B$5:$B$31,0)),0)</f>
        <v>0</v>
      </c>
      <c r="K98" s="7" t="n">
        <f aca="false">IFERROR(INDEX(Détail!$M$5:$M$31,MATCH("Grand carré de culture (Plant Species X)",Détail!$B$5:$B$31,0)),0)</f>
        <v>0</v>
      </c>
      <c r="L98" s="7" t="n">
        <f aca="false">IFERROR(INDEX(Détail!$N$5:$N$31,MATCH("Grand carré de culture (Plant Species X)",Détail!$B$5:$B$31,0)),0)</f>
        <v>0</v>
      </c>
      <c r="M98" s="7" t="n">
        <f aca="false">IFERROR(INDEX(Détail!$O$5:$O$31,MATCH("Grand carré de culture (Plant Species X)",Détail!$B$5:$B$31,0)),0)</f>
        <v>40</v>
      </c>
      <c r="N98" s="7" t="n">
        <f aca="false">IFERROR(INDEX(Détail!$P$5:$P$31,MATCH("Grand carré de culture (Plant Species X)",Détail!$B$5:$B$31,0)),0)</f>
        <v>50</v>
      </c>
      <c r="O98" s="7" t="n">
        <f aca="false">IFERROR(INDEX(Détail!$Q$5:$Q$31,MATCH("Grand carré de culture (Plant Species X)",Détail!$B$5:$B$31,0)),0)</f>
        <v>40</v>
      </c>
      <c r="P98" s="7" t="n">
        <f aca="false">IFERROR(INDEX(Détail!$R$5:$R$31,MATCH("Grand carré de culture (Plant Species X)",Détail!$B$5:$B$31,0)),0)</f>
        <v>100</v>
      </c>
      <c r="Q98" s="14" t="n">
        <f aca="false">$B98*C98</f>
        <v>0</v>
      </c>
      <c r="R98" s="14" t="n">
        <f aca="false">$B98*D98</f>
        <v>0</v>
      </c>
      <c r="S98" s="14" t="n">
        <f aca="false">$B98*E98</f>
        <v>0</v>
      </c>
      <c r="T98" s="14" t="n">
        <f aca="false">$B98*F98</f>
        <v>0</v>
      </c>
      <c r="U98" s="14" t="n">
        <f aca="false">$B98*G98</f>
        <v>0</v>
      </c>
      <c r="V98" s="14" t="n">
        <f aca="false">$B98*H98</f>
        <v>0</v>
      </c>
      <c r="W98" s="14" t="n">
        <f aca="false">$B98*I98</f>
        <v>0</v>
      </c>
      <c r="X98" s="14" t="n">
        <f aca="false">$B98*J98</f>
        <v>0</v>
      </c>
      <c r="Y98" s="14" t="n">
        <f aca="false">$B98*K98</f>
        <v>0</v>
      </c>
      <c r="Z98" s="14" t="n">
        <f aca="false">$B98*L98</f>
        <v>0</v>
      </c>
      <c r="AA98" s="14" t="n">
        <f aca="false">$B98*M98</f>
        <v>160</v>
      </c>
      <c r="AB98" s="14" t="n">
        <f aca="false">$B98*N98</f>
        <v>200</v>
      </c>
      <c r="AC98" s="14" t="n">
        <f aca="false">$B98*O98</f>
        <v>160</v>
      </c>
      <c r="AD98" s="14" t="n">
        <f aca="false">$B98*P98</f>
        <v>400</v>
      </c>
    </row>
    <row r="99" customFormat="false" ht="15" hidden="false" customHeight="false" outlineLevel="0" collapsed="false">
      <c r="A99" s="6" t="s">
        <v>123</v>
      </c>
      <c r="B99" s="16" t="n">
        <v>2</v>
      </c>
      <c r="C99" s="7" t="n">
        <f aca="false">IFERROR(INDEX(Détail!$E$5:$E$31,MATCH("Tourelle lourde (Heavy)",Détail!$B$5:$B$31,0)),0)</f>
        <v>540</v>
      </c>
      <c r="D99" s="7" t="n">
        <f aca="false">IFERROR(INDEX(Détail!$F$5:$F$31,MATCH("Tourelle lourde (Heavy)",Détail!$B$5:$B$31,0)),0)</f>
        <v>200</v>
      </c>
      <c r="E99" s="7" t="n">
        <f aca="false">IFERROR(INDEX(Détail!$G$5:$G$31,MATCH("Tourelle lourde (Heavy)",Détail!$B$5:$B$31,0)),0)</f>
        <v>270</v>
      </c>
      <c r="F99" s="7" t="n">
        <f aca="false">IFERROR(INDEX(Détail!$H$5:$H$31,MATCH("Tourelle lourde (Heavy)",Détail!$B$5:$B$31,0)),0)</f>
        <v>70</v>
      </c>
      <c r="G99" s="7" t="n">
        <f aca="false">IFERROR(INDEX(Détail!$I$5:$I$31,MATCH("Tourelle lourde (Heavy)",Détail!$B$5:$B$31,0)),0)</f>
        <v>0</v>
      </c>
      <c r="H99" s="7" t="n">
        <f aca="false">IFERROR(INDEX(Détail!$J$5:$J$31,MATCH("Tourelle lourde (Heavy)",Détail!$B$5:$B$31,0)),0)</f>
        <v>0</v>
      </c>
      <c r="I99" s="7" t="n">
        <f aca="false">IFERROR(INDEX(Détail!$K$5:$K$31,MATCH("Tourelle lourde (Heavy)",Détail!$B$5:$B$31,0)),0)</f>
        <v>0</v>
      </c>
      <c r="J99" s="7" t="n">
        <f aca="false">IFERROR(INDEX(Détail!$L$5:$L$31,MATCH("Tourelle lourde (Heavy)",Détail!$B$5:$B$31,0)),0)</f>
        <v>0</v>
      </c>
      <c r="K99" s="7" t="n">
        <f aca="false">IFERROR(INDEX(Détail!$M$5:$M$31,MATCH("Tourelle lourde (Heavy)",Détail!$B$5:$B$31,0)),0)</f>
        <v>0</v>
      </c>
      <c r="L99" s="7" t="n">
        <f aca="false">IFERROR(INDEX(Détail!$N$5:$N$31,MATCH("Tourelle lourde (Heavy)",Détail!$B$5:$B$31,0)),0)</f>
        <v>0</v>
      </c>
      <c r="M99" s="7" t="n">
        <f aca="false">IFERROR(INDEX(Détail!$O$5:$O$31,MATCH("Tourelle lourde (Heavy)",Détail!$B$5:$B$31,0)),0)</f>
        <v>0</v>
      </c>
      <c r="N99" s="7" t="n">
        <f aca="false">IFERROR(INDEX(Détail!$P$5:$P$31,MATCH("Tourelle lourde (Heavy)",Détail!$B$5:$B$31,0)),0)</f>
        <v>0</v>
      </c>
      <c r="O99" s="7" t="n">
        <f aca="false">IFERROR(INDEX(Détail!$Q$5:$Q$31,MATCH("Tourelle lourde (Heavy)",Détail!$B$5:$B$31,0)),0)</f>
        <v>0</v>
      </c>
      <c r="P99" s="7" t="n">
        <f aca="false">IFERROR(INDEX(Détail!$R$5:$R$31,MATCH("Tourelle lourde (Heavy)",Détail!$B$5:$B$31,0)),0)</f>
        <v>0</v>
      </c>
      <c r="Q99" s="14" t="n">
        <f aca="false">$B99*C99</f>
        <v>1080</v>
      </c>
      <c r="R99" s="14" t="n">
        <f aca="false">$B99*D99</f>
        <v>400</v>
      </c>
      <c r="S99" s="14" t="n">
        <f aca="false">$B99*E99</f>
        <v>540</v>
      </c>
      <c r="T99" s="14" t="n">
        <f aca="false">$B99*F99</f>
        <v>140</v>
      </c>
      <c r="U99" s="14" t="n">
        <f aca="false">$B99*G99</f>
        <v>0</v>
      </c>
      <c r="V99" s="14" t="n">
        <f aca="false">$B99*H99</f>
        <v>0</v>
      </c>
      <c r="W99" s="14" t="n">
        <f aca="false">$B99*I99</f>
        <v>0</v>
      </c>
      <c r="X99" s="14" t="n">
        <f aca="false">$B99*J99</f>
        <v>0</v>
      </c>
      <c r="Y99" s="14" t="n">
        <f aca="false">$B99*K99</f>
        <v>0</v>
      </c>
      <c r="Z99" s="14" t="n">
        <f aca="false">$B99*L99</f>
        <v>0</v>
      </c>
      <c r="AA99" s="14" t="n">
        <f aca="false">$B99*M99</f>
        <v>0</v>
      </c>
      <c r="AB99" s="14" t="n">
        <f aca="false">$B99*N99</f>
        <v>0</v>
      </c>
      <c r="AC99" s="14" t="n">
        <f aca="false">$B99*O99</f>
        <v>0</v>
      </c>
      <c r="AD99" s="14" t="n">
        <f aca="false">$B99*P99</f>
        <v>0</v>
      </c>
    </row>
    <row r="100" customFormat="false" ht="15" hidden="false" customHeight="false" outlineLevel="0" collapsed="false">
      <c r="A100" s="6" t="s">
        <v>124</v>
      </c>
      <c r="B100" s="16" t="n">
        <v>2</v>
      </c>
      <c r="C100" s="7" t="n">
        <f aca="false">IFERROR(INDEX(Détail!$E$5:$E$31,MATCH("Tourelle Tek",Détail!$B$5:$B$31,0)),0)</f>
        <v>100</v>
      </c>
      <c r="D100" s="7" t="n">
        <f aca="false">IFERROR(INDEX(Détail!$F$5:$F$31,MATCH("Tourelle Tek",Détail!$B$5:$B$31,0)),0)</f>
        <v>50</v>
      </c>
      <c r="E100" s="7" t="n">
        <f aca="false">IFERROR(INDEX(Détail!$G$5:$G$31,MATCH("Tourelle Tek",Détail!$B$5:$B$31,0)),0)</f>
        <v>100</v>
      </c>
      <c r="F100" s="7" t="n">
        <f aca="false">IFERROR(INDEX(Détail!$H$5:$H$31,MATCH("Tourelle Tek",Détail!$B$5:$B$31,0)),0)</f>
        <v>50</v>
      </c>
      <c r="G100" s="7" t="n">
        <f aca="false">IFERROR(INDEX(Détail!$I$5:$I$31,MATCH("Tourelle Tek",Détail!$B$5:$B$31,0)),0)</f>
        <v>0</v>
      </c>
      <c r="H100" s="7" t="n">
        <f aca="false">IFERROR(INDEX(Détail!$J$5:$J$31,MATCH("Tourelle Tek",Détail!$B$5:$B$31,0)),0)</f>
        <v>3</v>
      </c>
      <c r="I100" s="7" t="n">
        <f aca="false">IFERROR(INDEX(Détail!$K$5:$K$31,MATCH("Tourelle Tek",Détail!$B$5:$B$31,0)),0)</f>
        <v>0</v>
      </c>
      <c r="J100" s="7" t="n">
        <f aca="false">IFERROR(INDEX(Détail!$L$5:$L$31,MATCH("Tourelle Tek",Détail!$B$5:$B$31,0)),0)</f>
        <v>0</v>
      </c>
      <c r="K100" s="7" t="n">
        <f aca="false">IFERROR(INDEX(Détail!$M$5:$M$31,MATCH("Tourelle Tek",Détail!$B$5:$B$31,0)),0)</f>
        <v>0</v>
      </c>
      <c r="L100" s="7" t="n">
        <f aca="false">IFERROR(INDEX(Détail!$N$5:$N$31,MATCH("Tourelle Tek",Détail!$B$5:$B$31,0)),0)</f>
        <v>0</v>
      </c>
      <c r="M100" s="7" t="n">
        <f aca="false">IFERROR(INDEX(Détail!$O$5:$O$31,MATCH("Tourelle Tek",Détail!$B$5:$B$31,0)),0)</f>
        <v>0</v>
      </c>
      <c r="N100" s="7" t="n">
        <f aca="false">IFERROR(INDEX(Détail!$P$5:$P$31,MATCH("Tourelle Tek",Détail!$B$5:$B$31,0)),0)</f>
        <v>0</v>
      </c>
      <c r="O100" s="7" t="n">
        <f aca="false">IFERROR(INDEX(Détail!$Q$5:$Q$31,MATCH("Tourelle Tek",Détail!$B$5:$B$31,0)),0)</f>
        <v>0</v>
      </c>
      <c r="P100" s="7" t="n">
        <f aca="false">IFERROR(INDEX(Détail!$R$5:$R$31,MATCH("Tourelle Tek",Détail!$B$5:$B$31,0)),0)</f>
        <v>0</v>
      </c>
      <c r="Q100" s="14" t="n">
        <f aca="false">$B100*C100</f>
        <v>200</v>
      </c>
      <c r="R100" s="14" t="n">
        <f aca="false">$B100*D100</f>
        <v>100</v>
      </c>
      <c r="S100" s="14" t="n">
        <f aca="false">$B100*E100</f>
        <v>200</v>
      </c>
      <c r="T100" s="14" t="n">
        <f aca="false">$B100*F100</f>
        <v>100</v>
      </c>
      <c r="U100" s="14" t="n">
        <f aca="false">$B100*G100</f>
        <v>0</v>
      </c>
      <c r="V100" s="14" t="n">
        <f aca="false">$B100*H100</f>
        <v>6</v>
      </c>
      <c r="W100" s="14" t="n">
        <f aca="false">$B100*I100</f>
        <v>0</v>
      </c>
      <c r="X100" s="14" t="n">
        <f aca="false">$B100*J100</f>
        <v>0</v>
      </c>
      <c r="Y100" s="14" t="n">
        <f aca="false">$B100*K100</f>
        <v>0</v>
      </c>
      <c r="Z100" s="14" t="n">
        <f aca="false">$B100*L100</f>
        <v>0</v>
      </c>
      <c r="AA100" s="14" t="n">
        <f aca="false">$B100*M100</f>
        <v>0</v>
      </c>
      <c r="AB100" s="14" t="n">
        <f aca="false">$B100*N100</f>
        <v>0</v>
      </c>
      <c r="AC100" s="14" t="n">
        <f aca="false">$B100*O100</f>
        <v>0</v>
      </c>
      <c r="AD100" s="14" t="n">
        <f aca="false">$B100*P100</f>
        <v>0</v>
      </c>
    </row>
    <row r="101" customFormat="false" ht="15" hidden="false" customHeight="false" outlineLevel="0" collapsed="false">
      <c r="A101" s="6" t="s">
        <v>125</v>
      </c>
      <c r="B101" s="16" t="n">
        <v>2</v>
      </c>
      <c r="C101" s="7" t="n">
        <f aca="false">IFERROR(INDEX(Détail!$E$5:$E$31,MATCH("Bobine Tesla",Détail!$B$5:$B$31,0)),0)</f>
        <v>500</v>
      </c>
      <c r="D101" s="7" t="n">
        <f aca="false">IFERROR(INDEX(Détail!$F$5:$F$31,MATCH("Bobine Tesla",Détail!$B$5:$B$31,0)),0)</f>
        <v>0</v>
      </c>
      <c r="E101" s="7" t="n">
        <f aca="false">IFERROR(INDEX(Détail!$G$5:$G$31,MATCH("Bobine Tesla",Détail!$B$5:$B$31,0)),0)</f>
        <v>100</v>
      </c>
      <c r="F101" s="7" t="n">
        <f aca="false">IFERROR(INDEX(Détail!$H$5:$H$31,MATCH("Bobine Tesla",Détail!$B$5:$B$31,0)),0)</f>
        <v>300</v>
      </c>
      <c r="G101" s="7" t="n">
        <f aca="false">IFERROR(INDEX(Détail!$I$5:$I$31,MATCH("Bobine Tesla",Détail!$B$5:$B$31,0)),0)</f>
        <v>200</v>
      </c>
      <c r="H101" s="7" t="n">
        <f aca="false">IFERROR(INDEX(Détail!$J$5:$J$31,MATCH("Bobine Tesla",Détail!$B$5:$B$31,0)),0)</f>
        <v>0</v>
      </c>
      <c r="I101" s="7" t="n">
        <f aca="false">IFERROR(INDEX(Détail!$K$5:$K$31,MATCH("Bobine Tesla",Détail!$B$5:$B$31,0)),0)</f>
        <v>0</v>
      </c>
      <c r="J101" s="7" t="n">
        <f aca="false">IFERROR(INDEX(Détail!$L$5:$L$31,MATCH("Bobine Tesla",Détail!$B$5:$B$31,0)),0)</f>
        <v>0</v>
      </c>
      <c r="K101" s="7" t="n">
        <f aca="false">IFERROR(INDEX(Détail!$M$5:$M$31,MATCH("Bobine Tesla",Détail!$B$5:$B$31,0)),0)</f>
        <v>0</v>
      </c>
      <c r="L101" s="7" t="n">
        <f aca="false">IFERROR(INDEX(Détail!$N$5:$N$31,MATCH("Bobine Tesla",Détail!$B$5:$B$31,0)),0)</f>
        <v>0</v>
      </c>
      <c r="M101" s="7" t="n">
        <f aca="false">IFERROR(INDEX(Détail!$O$5:$O$31,MATCH("Bobine Tesla",Détail!$B$5:$B$31,0)),0)</f>
        <v>0</v>
      </c>
      <c r="N101" s="7" t="n">
        <f aca="false">IFERROR(INDEX(Détail!$P$5:$P$31,MATCH("Bobine Tesla",Détail!$B$5:$B$31,0)),0)</f>
        <v>0</v>
      </c>
      <c r="O101" s="7" t="n">
        <f aca="false">IFERROR(INDEX(Détail!$Q$5:$Q$31,MATCH("Bobine Tesla",Détail!$B$5:$B$31,0)),0)</f>
        <v>0</v>
      </c>
      <c r="P101" s="7" t="n">
        <f aca="false">IFERROR(INDEX(Détail!$R$5:$R$31,MATCH("Bobine Tesla",Détail!$B$5:$B$31,0)),0)</f>
        <v>0</v>
      </c>
      <c r="Q101" s="14" t="n">
        <f aca="false">$B101*C101</f>
        <v>1000</v>
      </c>
      <c r="R101" s="14" t="n">
        <f aca="false">$B101*D101</f>
        <v>0</v>
      </c>
      <c r="S101" s="14" t="n">
        <f aca="false">$B101*E101</f>
        <v>200</v>
      </c>
      <c r="T101" s="14" t="n">
        <f aca="false">$B101*F101</f>
        <v>600</v>
      </c>
      <c r="U101" s="14" t="n">
        <f aca="false">$B101*G101</f>
        <v>400</v>
      </c>
      <c r="V101" s="14" t="n">
        <f aca="false">$B101*H101</f>
        <v>0</v>
      </c>
      <c r="W101" s="14" t="n">
        <f aca="false">$B101*I101</f>
        <v>0</v>
      </c>
      <c r="X101" s="14" t="n">
        <f aca="false">$B101*J101</f>
        <v>0</v>
      </c>
      <c r="Y101" s="14" t="n">
        <f aca="false">$B101*K101</f>
        <v>0</v>
      </c>
      <c r="Z101" s="14" t="n">
        <f aca="false">$B101*L101</f>
        <v>0</v>
      </c>
      <c r="AA101" s="14" t="n">
        <f aca="false">$B101*M101</f>
        <v>0</v>
      </c>
      <c r="AB101" s="14" t="n">
        <f aca="false">$B101*N101</f>
        <v>0</v>
      </c>
      <c r="AC101" s="14" t="n">
        <f aca="false">$B101*O101</f>
        <v>0</v>
      </c>
      <c r="AD101" s="14" t="n">
        <f aca="false">$B101*P101</f>
        <v>0</v>
      </c>
    </row>
    <row r="102" customFormat="false" ht="15" hidden="false" customHeight="false" outlineLevel="0" collapsed="false">
      <c r="A102" s="6" t="s">
        <v>114</v>
      </c>
      <c r="B102" s="16" t="n">
        <v>1</v>
      </c>
      <c r="C102" s="7" t="n">
        <f aca="false">IFERROR(INDEX(Détail!$E$5:$E$31,MATCH("Mur métal",Détail!$B$5:$B$31,0)),0)</f>
        <v>25</v>
      </c>
      <c r="D102" s="7" t="n">
        <f aca="false">IFERROR(INDEX(Détail!$F$5:$F$31,MATCH("Mur métal",Détail!$B$5:$B$31,0)),0)</f>
        <v>7</v>
      </c>
      <c r="E102" s="7" t="n">
        <f aca="false">IFERROR(INDEX(Détail!$G$5:$G$31,MATCH("Mur métal",Détail!$B$5:$B$31,0)),0)</f>
        <v>0</v>
      </c>
      <c r="F102" s="7" t="n">
        <f aca="false">IFERROR(INDEX(Détail!$H$5:$H$31,MATCH("Mur métal",Détail!$B$5:$B$31,0)),0)</f>
        <v>0</v>
      </c>
      <c r="G102" s="7" t="n">
        <f aca="false">IFERROR(INDEX(Détail!$I$5:$I$31,MATCH("Mur métal",Détail!$B$5:$B$31,0)),0)</f>
        <v>0</v>
      </c>
      <c r="H102" s="7" t="n">
        <f aca="false">IFERROR(INDEX(Détail!$J$5:$J$31,MATCH("Mur métal",Détail!$B$5:$B$31,0)),0)</f>
        <v>0</v>
      </c>
      <c r="I102" s="7" t="n">
        <f aca="false">IFERROR(INDEX(Détail!$K$5:$K$31,MATCH("Mur métal",Détail!$B$5:$B$31,0)),0)</f>
        <v>0</v>
      </c>
      <c r="J102" s="7" t="n">
        <f aca="false">IFERROR(INDEX(Détail!$L$5:$L$31,MATCH("Mur métal",Détail!$B$5:$B$31,0)),0)</f>
        <v>0</v>
      </c>
      <c r="K102" s="7" t="n">
        <f aca="false">IFERROR(INDEX(Détail!$M$5:$M$31,MATCH("Mur métal",Détail!$B$5:$B$31,0)),0)</f>
        <v>0</v>
      </c>
      <c r="L102" s="7" t="n">
        <f aca="false">IFERROR(INDEX(Détail!$N$5:$N$31,MATCH("Mur métal",Détail!$B$5:$B$31,0)),0)</f>
        <v>0</v>
      </c>
      <c r="M102" s="7" t="n">
        <f aca="false">IFERROR(INDEX(Détail!$O$5:$O$31,MATCH("Mur métal",Détail!$B$5:$B$31,0)),0)</f>
        <v>0</v>
      </c>
      <c r="N102" s="7" t="n">
        <f aca="false">IFERROR(INDEX(Détail!$P$5:$P$31,MATCH("Mur métal",Détail!$B$5:$B$31,0)),0)</f>
        <v>0</v>
      </c>
      <c r="O102" s="7" t="n">
        <f aca="false">IFERROR(INDEX(Détail!$Q$5:$Q$31,MATCH("Mur métal",Détail!$B$5:$B$31,0)),0)</f>
        <v>0</v>
      </c>
      <c r="P102" s="7" t="n">
        <f aca="false">IFERROR(INDEX(Détail!$R$5:$R$31,MATCH("Mur métal",Détail!$B$5:$B$31,0)),0)</f>
        <v>0</v>
      </c>
      <c r="Q102" s="14" t="n">
        <f aca="false">$B102*C102</f>
        <v>25</v>
      </c>
      <c r="R102" s="14" t="n">
        <f aca="false">$B102*D102</f>
        <v>7</v>
      </c>
      <c r="S102" s="14" t="n">
        <f aca="false">$B102*E102</f>
        <v>0</v>
      </c>
      <c r="T102" s="14" t="n">
        <f aca="false">$B102*F102</f>
        <v>0</v>
      </c>
      <c r="U102" s="14" t="n">
        <f aca="false">$B102*G102</f>
        <v>0</v>
      </c>
      <c r="V102" s="14" t="n">
        <f aca="false">$B102*H102</f>
        <v>0</v>
      </c>
      <c r="W102" s="14" t="n">
        <f aca="false">$B102*I102</f>
        <v>0</v>
      </c>
      <c r="X102" s="14" t="n">
        <f aca="false">$B102*J102</f>
        <v>0</v>
      </c>
      <c r="Y102" s="14" t="n">
        <f aca="false">$B102*K102</f>
        <v>0</v>
      </c>
      <c r="Z102" s="14" t="n">
        <f aca="false">$B102*L102</f>
        <v>0</v>
      </c>
      <c r="AA102" s="14" t="n">
        <f aca="false">$B102*M102</f>
        <v>0</v>
      </c>
      <c r="AB102" s="14" t="n">
        <f aca="false">$B102*N102</f>
        <v>0</v>
      </c>
      <c r="AC102" s="14" t="n">
        <f aca="false">$B102*O102</f>
        <v>0</v>
      </c>
      <c r="AD102" s="14" t="n">
        <f aca="false">$B102*P102</f>
        <v>0</v>
      </c>
    </row>
    <row r="103" customFormat="false" ht="15" hidden="false" customHeight="false" outlineLevel="0" collapsed="false">
      <c r="A103" s="8" t="s">
        <v>99</v>
      </c>
      <c r="B103" s="9" t="n">
        <f aca="false">SUM(B98:B102)</f>
        <v>11</v>
      </c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9" t="n">
        <f aca="false">SUM(Q98:Q102)</f>
        <v>2305</v>
      </c>
      <c r="R103" s="9" t="n">
        <f aca="false">SUM(R98:R102)</f>
        <v>507</v>
      </c>
      <c r="S103" s="9" t="n">
        <f aca="false">SUM(S98:S102)</f>
        <v>940</v>
      </c>
      <c r="T103" s="9" t="n">
        <f aca="false">SUM(T98:T102)</f>
        <v>840</v>
      </c>
      <c r="U103" s="9" t="n">
        <f aca="false">SUM(U98:U102)</f>
        <v>400</v>
      </c>
      <c r="V103" s="9" t="n">
        <f aca="false">SUM(V98:V102)</f>
        <v>6</v>
      </c>
      <c r="W103" s="9" t="n">
        <f aca="false">SUM(W98:W102)</f>
        <v>0</v>
      </c>
      <c r="X103" s="9" t="n">
        <f aca="false">SUM(X98:X102)</f>
        <v>0</v>
      </c>
      <c r="Y103" s="9" t="n">
        <f aca="false">SUM(Y98:Y102)</f>
        <v>0</v>
      </c>
      <c r="Z103" s="9" t="n">
        <f aca="false">SUM(Z98:Z102)</f>
        <v>0</v>
      </c>
      <c r="AA103" s="9" t="n">
        <f aca="false">SUM(AA98:AA102)</f>
        <v>160</v>
      </c>
      <c r="AB103" s="9" t="n">
        <f aca="false">SUM(AB98:AB102)</f>
        <v>200</v>
      </c>
      <c r="AC103" s="9" t="n">
        <f aca="false">SUM(AC98:AC102)</f>
        <v>160</v>
      </c>
      <c r="AD103" s="9" t="n">
        <f aca="false">SUM(AD98:AD102)</f>
        <v>400</v>
      </c>
    </row>
    <row r="104" customFormat="false" ht="15" hidden="false" customHeight="false" outlineLevel="0" collapsed="false">
      <c r="A104" s="8" t="s">
        <v>36</v>
      </c>
      <c r="B104" s="9" t="n">
        <f aca="false">SUM(B98:B102)-SUMIF(A98:A102,"* (inventaire)",B98:B102)</f>
        <v>5</v>
      </c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9" t="n">
        <f aca="false">SUM(Q98:Q102)-SUMIF(A98:A102,"* (inventaire)",Q98:Q102)</f>
        <v>25</v>
      </c>
      <c r="R104" s="9" t="n">
        <f aca="false">SUM(R98:R102)-SUMIF(A98:A102,"* (inventaire)",R98:R102)</f>
        <v>7</v>
      </c>
      <c r="S104" s="9" t="n">
        <f aca="false">SUM(S98:S102)-SUMIF(A98:A102,"* (inventaire)",S98:S102)</f>
        <v>0</v>
      </c>
      <c r="T104" s="9" t="n">
        <f aca="false">SUM(T98:T102)-SUMIF(A98:A102,"* (inventaire)",T98:T102)</f>
        <v>0</v>
      </c>
      <c r="U104" s="9" t="n">
        <f aca="false">SUM(U98:U102)-SUMIF(A98:A102,"* (inventaire)",U98:U102)</f>
        <v>0</v>
      </c>
      <c r="V104" s="9" t="n">
        <f aca="false">SUM(V98:V102)-SUMIF(A98:A102,"* (inventaire)",V98:V102)</f>
        <v>0</v>
      </c>
      <c r="W104" s="9" t="n">
        <f aca="false">SUM(W98:W102)-SUMIF(A98:A102,"* (inventaire)",W98:W102)</f>
        <v>0</v>
      </c>
      <c r="X104" s="9" t="n">
        <f aca="false">SUM(X98:X102)-SUMIF(A98:A102,"* (inventaire)",X98:X102)</f>
        <v>0</v>
      </c>
      <c r="Y104" s="9" t="n">
        <f aca="false">SUM(Y98:Y102)-SUMIF(A98:A102,"* (inventaire)",Y98:Y102)</f>
        <v>0</v>
      </c>
      <c r="Z104" s="9" t="n">
        <f aca="false">SUM(Z98:Z102)-SUMIF(A98:A102,"* (inventaire)",Z98:Z102)</f>
        <v>0</v>
      </c>
      <c r="AA104" s="9" t="n">
        <f aca="false">SUM(AA98:AA102)-SUMIF(A98:A102,"* (inventaire)",AA98:AA102)</f>
        <v>160</v>
      </c>
      <c r="AB104" s="9" t="n">
        <f aca="false">SUM(AB98:AB102)-SUMIF(A98:A102,"* (inventaire)",AB98:AB102)</f>
        <v>200</v>
      </c>
      <c r="AC104" s="9" t="n">
        <f aca="false">SUM(AC98:AC102)-SUMIF(A98:A102,"* (inventaire)",AC98:AC102)</f>
        <v>160</v>
      </c>
      <c r="AD104" s="9" t="n">
        <f aca="false">SUM(AD98:AD102)-SUMIF(A98:A102,"* (inventaire)",AD98:AD102)</f>
        <v>400</v>
      </c>
    </row>
    <row r="105" customFormat="false" ht="15" hidden="false" customHeight="fals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5" hidden="false" customHeight="false" outlineLevel="0" collapsed="false">
      <c r="A106" s="15" t="s">
        <v>136</v>
      </c>
      <c r="B106" s="2"/>
      <c r="C106" s="3" t="s">
        <v>137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30" hidden="false" customHeight="true" outlineLevel="0" collapsed="false">
      <c r="A107" s="11" t="s">
        <v>67</v>
      </c>
      <c r="B107" s="11" t="s">
        <v>68</v>
      </c>
      <c r="C107" s="11" t="s">
        <v>69</v>
      </c>
      <c r="D107" s="11" t="s">
        <v>70</v>
      </c>
      <c r="E107" s="11" t="s">
        <v>71</v>
      </c>
      <c r="F107" s="11" t="s">
        <v>72</v>
      </c>
      <c r="G107" s="11" t="s">
        <v>73</v>
      </c>
      <c r="H107" s="11" t="s">
        <v>74</v>
      </c>
      <c r="I107" s="11" t="s">
        <v>75</v>
      </c>
      <c r="J107" s="11" t="s">
        <v>76</v>
      </c>
      <c r="K107" s="11" t="s">
        <v>77</v>
      </c>
      <c r="L107" s="11" t="s">
        <v>78</v>
      </c>
      <c r="M107" s="11" t="s">
        <v>79</v>
      </c>
      <c r="N107" s="11" t="s">
        <v>80</v>
      </c>
      <c r="O107" s="11" t="s">
        <v>81</v>
      </c>
      <c r="P107" s="11" t="s">
        <v>82</v>
      </c>
      <c r="Q107" s="11" t="s">
        <v>83</v>
      </c>
      <c r="R107" s="11" t="s">
        <v>84</v>
      </c>
      <c r="S107" s="11" t="s">
        <v>85</v>
      </c>
      <c r="T107" s="11" t="s">
        <v>86</v>
      </c>
      <c r="U107" s="11" t="s">
        <v>87</v>
      </c>
      <c r="V107" s="11" t="s">
        <v>88</v>
      </c>
      <c r="W107" s="11" t="s">
        <v>89</v>
      </c>
      <c r="X107" s="11" t="s">
        <v>90</v>
      </c>
      <c r="Y107" s="11" t="s">
        <v>91</v>
      </c>
      <c r="Z107" s="11" t="s">
        <v>92</v>
      </c>
      <c r="AA107" s="11" t="s">
        <v>93</v>
      </c>
      <c r="AB107" s="11" t="s">
        <v>94</v>
      </c>
      <c r="AC107" s="11" t="s">
        <v>95</v>
      </c>
      <c r="AD107" s="11" t="s">
        <v>96</v>
      </c>
    </row>
    <row r="108" customFormat="false" ht="15" hidden="false" customHeight="false" outlineLevel="0" collapsed="false">
      <c r="A108" s="6" t="s">
        <v>114</v>
      </c>
      <c r="B108" s="16" t="n">
        <v>52</v>
      </c>
      <c r="C108" s="7" t="n">
        <f aca="false">IFERROR(INDEX(Détail!$E$5:$E$31,MATCH("Mur métal",Détail!$B$5:$B$31,0)),0)</f>
        <v>25</v>
      </c>
      <c r="D108" s="7" t="n">
        <f aca="false">IFERROR(INDEX(Détail!$F$5:$F$31,MATCH("Mur métal",Détail!$B$5:$B$31,0)),0)</f>
        <v>7</v>
      </c>
      <c r="E108" s="7" t="n">
        <f aca="false">IFERROR(INDEX(Détail!$G$5:$G$31,MATCH("Mur métal",Détail!$B$5:$B$31,0)),0)</f>
        <v>0</v>
      </c>
      <c r="F108" s="7" t="n">
        <f aca="false">IFERROR(INDEX(Détail!$H$5:$H$31,MATCH("Mur métal",Détail!$B$5:$B$31,0)),0)</f>
        <v>0</v>
      </c>
      <c r="G108" s="7" t="n">
        <f aca="false">IFERROR(INDEX(Détail!$I$5:$I$31,MATCH("Mur métal",Détail!$B$5:$B$31,0)),0)</f>
        <v>0</v>
      </c>
      <c r="H108" s="7" t="n">
        <f aca="false">IFERROR(INDEX(Détail!$J$5:$J$31,MATCH("Mur métal",Détail!$B$5:$B$31,0)),0)</f>
        <v>0</v>
      </c>
      <c r="I108" s="7" t="n">
        <f aca="false">IFERROR(INDEX(Détail!$K$5:$K$31,MATCH("Mur métal",Détail!$B$5:$B$31,0)),0)</f>
        <v>0</v>
      </c>
      <c r="J108" s="7" t="n">
        <f aca="false">IFERROR(INDEX(Détail!$L$5:$L$31,MATCH("Mur métal",Détail!$B$5:$B$31,0)),0)</f>
        <v>0</v>
      </c>
      <c r="K108" s="7" t="n">
        <f aca="false">IFERROR(INDEX(Détail!$M$5:$M$31,MATCH("Mur métal",Détail!$B$5:$B$31,0)),0)</f>
        <v>0</v>
      </c>
      <c r="L108" s="7" t="n">
        <f aca="false">IFERROR(INDEX(Détail!$N$5:$N$31,MATCH("Mur métal",Détail!$B$5:$B$31,0)),0)</f>
        <v>0</v>
      </c>
      <c r="M108" s="7" t="n">
        <f aca="false">IFERROR(INDEX(Détail!$O$5:$O$31,MATCH("Mur métal",Détail!$B$5:$B$31,0)),0)</f>
        <v>0</v>
      </c>
      <c r="N108" s="7" t="n">
        <f aca="false">IFERROR(INDEX(Détail!$P$5:$P$31,MATCH("Mur métal",Détail!$B$5:$B$31,0)),0)</f>
        <v>0</v>
      </c>
      <c r="O108" s="7" t="n">
        <f aca="false">IFERROR(INDEX(Détail!$Q$5:$Q$31,MATCH("Mur métal",Détail!$B$5:$B$31,0)),0)</f>
        <v>0</v>
      </c>
      <c r="P108" s="7" t="n">
        <f aca="false">IFERROR(INDEX(Détail!$R$5:$R$31,MATCH("Mur métal",Détail!$B$5:$B$31,0)),0)</f>
        <v>0</v>
      </c>
      <c r="Q108" s="14" t="n">
        <f aca="false">$B108*C108</f>
        <v>1300</v>
      </c>
      <c r="R108" s="14" t="n">
        <f aca="false">$B108*D108</f>
        <v>364</v>
      </c>
      <c r="S108" s="14" t="n">
        <f aca="false">$B108*E108</f>
        <v>0</v>
      </c>
      <c r="T108" s="14" t="n">
        <f aca="false">$B108*F108</f>
        <v>0</v>
      </c>
      <c r="U108" s="14" t="n">
        <f aca="false">$B108*G108</f>
        <v>0</v>
      </c>
      <c r="V108" s="14" t="n">
        <f aca="false">$B108*H108</f>
        <v>0</v>
      </c>
      <c r="W108" s="14" t="n">
        <f aca="false">$B108*I108</f>
        <v>0</v>
      </c>
      <c r="X108" s="14" t="n">
        <f aca="false">$B108*J108</f>
        <v>0</v>
      </c>
      <c r="Y108" s="14" t="n">
        <f aca="false">$B108*K108</f>
        <v>0</v>
      </c>
      <c r="Z108" s="14" t="n">
        <f aca="false">$B108*L108</f>
        <v>0</v>
      </c>
      <c r="AA108" s="14" t="n">
        <f aca="false">$B108*M108</f>
        <v>0</v>
      </c>
      <c r="AB108" s="14" t="n">
        <f aca="false">$B108*N108</f>
        <v>0</v>
      </c>
      <c r="AC108" s="14" t="n">
        <f aca="false">$B108*O108</f>
        <v>0</v>
      </c>
      <c r="AD108" s="14" t="n">
        <f aca="false">$B108*P108</f>
        <v>0</v>
      </c>
    </row>
    <row r="109" customFormat="false" ht="15" hidden="false" customHeight="false" outlineLevel="0" collapsed="false">
      <c r="A109" s="6" t="s">
        <v>102</v>
      </c>
      <c r="B109" s="16" t="n">
        <v>24</v>
      </c>
      <c r="C109" s="7" t="n">
        <f aca="false">IFERROR(INDEX(Détail!$E$5:$E$31,MATCH("Pilier métal",Détail!$B$5:$B$31,0)),0)</f>
        <v>25</v>
      </c>
      <c r="D109" s="7" t="n">
        <f aca="false">IFERROR(INDEX(Détail!$F$5:$F$31,MATCH("Pilier métal",Détail!$B$5:$B$31,0)),0)</f>
        <v>7</v>
      </c>
      <c r="E109" s="7" t="n">
        <f aca="false">IFERROR(INDEX(Détail!$G$5:$G$31,MATCH("Pilier métal",Détail!$B$5:$B$31,0)),0)</f>
        <v>0</v>
      </c>
      <c r="F109" s="7" t="n">
        <f aca="false">IFERROR(INDEX(Détail!$H$5:$H$31,MATCH("Pilier métal",Détail!$B$5:$B$31,0)),0)</f>
        <v>0</v>
      </c>
      <c r="G109" s="7" t="n">
        <f aca="false">IFERROR(INDEX(Détail!$I$5:$I$31,MATCH("Pilier métal",Détail!$B$5:$B$31,0)),0)</f>
        <v>0</v>
      </c>
      <c r="H109" s="7" t="n">
        <f aca="false">IFERROR(INDEX(Détail!$J$5:$J$31,MATCH("Pilier métal",Détail!$B$5:$B$31,0)),0)</f>
        <v>0</v>
      </c>
      <c r="I109" s="7" t="n">
        <f aca="false">IFERROR(INDEX(Détail!$K$5:$K$31,MATCH("Pilier métal",Détail!$B$5:$B$31,0)),0)</f>
        <v>0</v>
      </c>
      <c r="J109" s="7" t="n">
        <f aca="false">IFERROR(INDEX(Détail!$L$5:$L$31,MATCH("Pilier métal",Détail!$B$5:$B$31,0)),0)</f>
        <v>0</v>
      </c>
      <c r="K109" s="7" t="n">
        <f aca="false">IFERROR(INDEX(Détail!$M$5:$M$31,MATCH("Pilier métal",Détail!$B$5:$B$31,0)),0)</f>
        <v>0</v>
      </c>
      <c r="L109" s="7" t="n">
        <f aca="false">IFERROR(INDEX(Détail!$N$5:$N$31,MATCH("Pilier métal",Détail!$B$5:$B$31,0)),0)</f>
        <v>0</v>
      </c>
      <c r="M109" s="7" t="n">
        <f aca="false">IFERROR(INDEX(Détail!$O$5:$O$31,MATCH("Pilier métal",Détail!$B$5:$B$31,0)),0)</f>
        <v>0</v>
      </c>
      <c r="N109" s="7" t="n">
        <f aca="false">IFERROR(INDEX(Détail!$P$5:$P$31,MATCH("Pilier métal",Détail!$B$5:$B$31,0)),0)</f>
        <v>0</v>
      </c>
      <c r="O109" s="7" t="n">
        <f aca="false">IFERROR(INDEX(Détail!$Q$5:$Q$31,MATCH("Pilier métal",Détail!$B$5:$B$31,0)),0)</f>
        <v>0</v>
      </c>
      <c r="P109" s="7" t="n">
        <f aca="false">IFERROR(INDEX(Détail!$R$5:$R$31,MATCH("Pilier métal",Détail!$B$5:$B$31,0)),0)</f>
        <v>0</v>
      </c>
      <c r="Q109" s="14" t="n">
        <f aca="false">$B109*C109</f>
        <v>600</v>
      </c>
      <c r="R109" s="14" t="n">
        <f aca="false">$B109*D109</f>
        <v>168</v>
      </c>
      <c r="S109" s="14" t="n">
        <f aca="false">$B109*E109</f>
        <v>0</v>
      </c>
      <c r="T109" s="14" t="n">
        <f aca="false">$B109*F109</f>
        <v>0</v>
      </c>
      <c r="U109" s="14" t="n">
        <f aca="false">$B109*G109</f>
        <v>0</v>
      </c>
      <c r="V109" s="14" t="n">
        <f aca="false">$B109*H109</f>
        <v>0</v>
      </c>
      <c r="W109" s="14" t="n">
        <f aca="false">$B109*I109</f>
        <v>0</v>
      </c>
      <c r="X109" s="14" t="n">
        <f aca="false">$B109*J109</f>
        <v>0</v>
      </c>
      <c r="Y109" s="14" t="n">
        <f aca="false">$B109*K109</f>
        <v>0</v>
      </c>
      <c r="Z109" s="14" t="n">
        <f aca="false">$B109*L109</f>
        <v>0</v>
      </c>
      <c r="AA109" s="14" t="n">
        <f aca="false">$B109*M109</f>
        <v>0</v>
      </c>
      <c r="AB109" s="14" t="n">
        <f aca="false">$B109*N109</f>
        <v>0</v>
      </c>
      <c r="AC109" s="14" t="n">
        <f aca="false">$B109*O109</f>
        <v>0</v>
      </c>
      <c r="AD109" s="14" t="n">
        <f aca="false">$B109*P109</f>
        <v>0</v>
      </c>
    </row>
    <row r="110" customFormat="false" ht="15" hidden="false" customHeight="false" outlineLevel="0" collapsed="false">
      <c r="A110" s="8" t="s">
        <v>99</v>
      </c>
      <c r="B110" s="9" t="n">
        <f aca="false">SUM(B108:B109)</f>
        <v>76</v>
      </c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9" t="n">
        <f aca="false">SUM(Q108:Q109)</f>
        <v>1900</v>
      </c>
      <c r="R110" s="9" t="n">
        <f aca="false">SUM(R108:R109)</f>
        <v>532</v>
      </c>
      <c r="S110" s="9" t="n">
        <f aca="false">SUM(S108:S109)</f>
        <v>0</v>
      </c>
      <c r="T110" s="9" t="n">
        <f aca="false">SUM(T108:T109)</f>
        <v>0</v>
      </c>
      <c r="U110" s="9" t="n">
        <f aca="false">SUM(U108:U109)</f>
        <v>0</v>
      </c>
      <c r="V110" s="9" t="n">
        <f aca="false">SUM(V108:V109)</f>
        <v>0</v>
      </c>
      <c r="W110" s="9" t="n">
        <f aca="false">SUM(W108:W109)</f>
        <v>0</v>
      </c>
      <c r="X110" s="9" t="n">
        <f aca="false">SUM(X108:X109)</f>
        <v>0</v>
      </c>
      <c r="Y110" s="9" t="n">
        <f aca="false">SUM(Y108:Y109)</f>
        <v>0</v>
      </c>
      <c r="Z110" s="9" t="n">
        <f aca="false">SUM(Z108:Z109)</f>
        <v>0</v>
      </c>
      <c r="AA110" s="9" t="n">
        <f aca="false">SUM(AA108:AA109)</f>
        <v>0</v>
      </c>
      <c r="AB110" s="9" t="n">
        <f aca="false">SUM(AB108:AB109)</f>
        <v>0</v>
      </c>
      <c r="AC110" s="9" t="n">
        <f aca="false">SUM(AC108:AC109)</f>
        <v>0</v>
      </c>
      <c r="AD110" s="9" t="n">
        <f aca="false">SUM(AD108:AD109)</f>
        <v>0</v>
      </c>
    </row>
    <row r="111" customFormat="false" ht="15" hidden="false" customHeight="false" outlineLevel="0" collapsed="false">
      <c r="A111" s="8" t="s">
        <v>36</v>
      </c>
      <c r="B111" s="9" t="n">
        <f aca="false">SUM(B108:B109)-SUMIF(A108:A109,"* (inventaire)",B108:B109)</f>
        <v>76</v>
      </c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9" t="n">
        <f aca="false">SUM(Q108:Q109)-SUMIF(A108:A109,"* (inventaire)",Q108:Q109)</f>
        <v>1900</v>
      </c>
      <c r="R111" s="9" t="n">
        <f aca="false">SUM(R108:R109)-SUMIF(A108:A109,"* (inventaire)",R108:R109)</f>
        <v>532</v>
      </c>
      <c r="S111" s="9" t="n">
        <f aca="false">SUM(S108:S109)-SUMIF(A108:A109,"* (inventaire)",S108:S109)</f>
        <v>0</v>
      </c>
      <c r="T111" s="9" t="n">
        <f aca="false">SUM(T108:T109)-SUMIF(A108:A109,"* (inventaire)",T108:T109)</f>
        <v>0</v>
      </c>
      <c r="U111" s="9" t="n">
        <f aca="false">SUM(U108:U109)-SUMIF(A108:A109,"* (inventaire)",U108:U109)</f>
        <v>0</v>
      </c>
      <c r="V111" s="9" t="n">
        <f aca="false">SUM(V108:V109)-SUMIF(A108:A109,"* (inventaire)",V108:V109)</f>
        <v>0</v>
      </c>
      <c r="W111" s="9" t="n">
        <f aca="false">SUM(W108:W109)-SUMIF(A108:A109,"* (inventaire)",W108:W109)</f>
        <v>0</v>
      </c>
      <c r="X111" s="9" t="n">
        <f aca="false">SUM(X108:X109)-SUMIF(A108:A109,"* (inventaire)",X108:X109)</f>
        <v>0</v>
      </c>
      <c r="Y111" s="9" t="n">
        <f aca="false">SUM(Y108:Y109)-SUMIF(A108:A109,"* (inventaire)",Y108:Y109)</f>
        <v>0</v>
      </c>
      <c r="Z111" s="9" t="n">
        <f aca="false">SUM(Z108:Z109)-SUMIF(A108:A109,"* (inventaire)",Z108:Z109)</f>
        <v>0</v>
      </c>
      <c r="AA111" s="9" t="n">
        <f aca="false">SUM(AA108:AA109)-SUMIF(A108:A109,"* (inventaire)",AA108:AA109)</f>
        <v>0</v>
      </c>
      <c r="AB111" s="9" t="n">
        <f aca="false">SUM(AB108:AB109)-SUMIF(A108:A109,"* (inventaire)",AB108:AB109)</f>
        <v>0</v>
      </c>
      <c r="AC111" s="9" t="n">
        <f aca="false">SUM(AC108:AC109)-SUMIF(A108:A109,"* (inventaire)",AC108:AC109)</f>
        <v>0</v>
      </c>
      <c r="AD111" s="9" t="n">
        <f aca="false">SUM(AD108:AD109)-SUMIF(A108:A109,"* (inventaire)",AD108:AD109)</f>
        <v>0</v>
      </c>
    </row>
    <row r="112" customFormat="false" ht="15" hidden="false" customHeight="fals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5" hidden="false" customHeight="false" outlineLevel="0" collapsed="false">
      <c r="A113" s="15" t="s">
        <v>138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30" hidden="false" customHeight="true" outlineLevel="0" collapsed="false">
      <c r="A114" s="11" t="s">
        <v>67</v>
      </c>
      <c r="B114" s="11" t="s">
        <v>68</v>
      </c>
      <c r="C114" s="11" t="s">
        <v>69</v>
      </c>
      <c r="D114" s="11" t="s">
        <v>70</v>
      </c>
      <c r="E114" s="11" t="s">
        <v>71</v>
      </c>
      <c r="F114" s="11" t="s">
        <v>72</v>
      </c>
      <c r="G114" s="11" t="s">
        <v>73</v>
      </c>
      <c r="H114" s="11" t="s">
        <v>74</v>
      </c>
      <c r="I114" s="11" t="s">
        <v>75</v>
      </c>
      <c r="J114" s="11" t="s">
        <v>76</v>
      </c>
      <c r="K114" s="11" t="s">
        <v>77</v>
      </c>
      <c r="L114" s="11" t="s">
        <v>78</v>
      </c>
      <c r="M114" s="11" t="s">
        <v>79</v>
      </c>
      <c r="N114" s="11" t="s">
        <v>80</v>
      </c>
      <c r="O114" s="11" t="s">
        <v>81</v>
      </c>
      <c r="P114" s="11" t="s">
        <v>82</v>
      </c>
      <c r="Q114" s="11" t="s">
        <v>83</v>
      </c>
      <c r="R114" s="11" t="s">
        <v>84</v>
      </c>
      <c r="S114" s="11" t="s">
        <v>85</v>
      </c>
      <c r="T114" s="11" t="s">
        <v>86</v>
      </c>
      <c r="U114" s="11" t="s">
        <v>87</v>
      </c>
      <c r="V114" s="11" t="s">
        <v>88</v>
      </c>
      <c r="W114" s="11" t="s">
        <v>89</v>
      </c>
      <c r="X114" s="11" t="s">
        <v>90</v>
      </c>
      <c r="Y114" s="11" t="s">
        <v>91</v>
      </c>
      <c r="Z114" s="11" t="s">
        <v>92</v>
      </c>
      <c r="AA114" s="11" t="s">
        <v>93</v>
      </c>
      <c r="AB114" s="11" t="s">
        <v>94</v>
      </c>
      <c r="AC114" s="11" t="s">
        <v>95</v>
      </c>
      <c r="AD114" s="11" t="s">
        <v>96</v>
      </c>
    </row>
    <row r="115" customFormat="false" ht="15" hidden="false" customHeight="false" outlineLevel="0" collapsed="false">
      <c r="A115" s="6" t="s">
        <v>139</v>
      </c>
      <c r="B115" s="16" t="n">
        <v>74</v>
      </c>
      <c r="C115" s="7" t="n">
        <f aca="false">IFERROR(INDEX(Détail!$E$5:$E$31,MATCH("Mur de pics métal",Détail!$B$5:$B$31,0)),0)</f>
        <v>25</v>
      </c>
      <c r="D115" s="7" t="n">
        <f aca="false">IFERROR(INDEX(Détail!$F$5:$F$31,MATCH("Mur de pics métal",Détail!$B$5:$B$31,0)),0)</f>
        <v>0</v>
      </c>
      <c r="E115" s="7" t="n">
        <f aca="false">IFERROR(INDEX(Détail!$G$5:$G$31,MATCH("Mur de pics métal",Détail!$B$5:$B$31,0)),0)</f>
        <v>0</v>
      </c>
      <c r="F115" s="7" t="n">
        <f aca="false">IFERROR(INDEX(Détail!$H$5:$H$31,MATCH("Mur de pics métal",Détail!$B$5:$B$31,0)),0)</f>
        <v>0</v>
      </c>
      <c r="G115" s="7" t="n">
        <f aca="false">IFERROR(INDEX(Détail!$I$5:$I$31,MATCH("Mur de pics métal",Détail!$B$5:$B$31,0)),0)</f>
        <v>0</v>
      </c>
      <c r="H115" s="7" t="n">
        <f aca="false">IFERROR(INDEX(Détail!$J$5:$J$31,MATCH("Mur de pics métal",Détail!$B$5:$B$31,0)),0)</f>
        <v>0</v>
      </c>
      <c r="I115" s="7" t="n">
        <f aca="false">IFERROR(INDEX(Détail!$K$5:$K$31,MATCH("Mur de pics métal",Détail!$B$5:$B$31,0)),0)</f>
        <v>0</v>
      </c>
      <c r="J115" s="7" t="n">
        <f aca="false">IFERROR(INDEX(Détail!$L$5:$L$31,MATCH("Mur de pics métal",Détail!$B$5:$B$31,0)),0)</f>
        <v>0</v>
      </c>
      <c r="K115" s="7" t="n">
        <f aca="false">IFERROR(INDEX(Détail!$M$5:$M$31,MATCH("Mur de pics métal",Détail!$B$5:$B$31,0)),0)</f>
        <v>0</v>
      </c>
      <c r="L115" s="7" t="n">
        <f aca="false">IFERROR(INDEX(Détail!$N$5:$N$31,MATCH("Mur de pics métal",Détail!$B$5:$B$31,0)),0)</f>
        <v>20</v>
      </c>
      <c r="M115" s="7" t="n">
        <f aca="false">IFERROR(INDEX(Détail!$O$5:$O$31,MATCH("Mur de pics métal",Détail!$B$5:$B$31,0)),0)</f>
        <v>30</v>
      </c>
      <c r="N115" s="7" t="n">
        <f aca="false">IFERROR(INDEX(Détail!$P$5:$P$31,MATCH("Mur de pics métal",Détail!$B$5:$B$31,0)),0)</f>
        <v>0</v>
      </c>
      <c r="O115" s="7" t="n">
        <f aca="false">IFERROR(INDEX(Détail!$Q$5:$Q$31,MATCH("Mur de pics métal",Détail!$B$5:$B$31,0)),0)</f>
        <v>0</v>
      </c>
      <c r="P115" s="7" t="n">
        <f aca="false">IFERROR(INDEX(Détail!$R$5:$R$31,MATCH("Mur de pics métal",Détail!$B$5:$B$31,0)),0)</f>
        <v>0</v>
      </c>
      <c r="Q115" s="14" t="n">
        <f aca="false">$B115*C115</f>
        <v>1850</v>
      </c>
      <c r="R115" s="14" t="n">
        <f aca="false">$B115*D115</f>
        <v>0</v>
      </c>
      <c r="S115" s="14" t="n">
        <f aca="false">$B115*E115</f>
        <v>0</v>
      </c>
      <c r="T115" s="14" t="n">
        <f aca="false">$B115*F115</f>
        <v>0</v>
      </c>
      <c r="U115" s="14" t="n">
        <f aca="false">$B115*G115</f>
        <v>0</v>
      </c>
      <c r="V115" s="14" t="n">
        <f aca="false">$B115*H115</f>
        <v>0</v>
      </c>
      <c r="W115" s="14" t="n">
        <f aca="false">$B115*I115</f>
        <v>0</v>
      </c>
      <c r="X115" s="14" t="n">
        <f aca="false">$B115*J115</f>
        <v>0</v>
      </c>
      <c r="Y115" s="14" t="n">
        <f aca="false">$B115*K115</f>
        <v>0</v>
      </c>
      <c r="Z115" s="14" t="n">
        <f aca="false">$B115*L115</f>
        <v>1480</v>
      </c>
      <c r="AA115" s="14" t="n">
        <f aca="false">$B115*M115</f>
        <v>2220</v>
      </c>
      <c r="AB115" s="14" t="n">
        <f aca="false">$B115*N115</f>
        <v>0</v>
      </c>
      <c r="AC115" s="14" t="n">
        <f aca="false">$B115*O115</f>
        <v>0</v>
      </c>
      <c r="AD115" s="14" t="n">
        <f aca="false">$B115*P115</f>
        <v>0</v>
      </c>
    </row>
    <row r="116" customFormat="false" ht="15" hidden="false" customHeight="false" outlineLevel="0" collapsed="false">
      <c r="A116" s="6" t="s">
        <v>140</v>
      </c>
      <c r="B116" s="16" t="n">
        <v>20</v>
      </c>
      <c r="C116" s="7" t="n">
        <f aca="false">IFERROR(INDEX(Détail!$E$5:$E$31,MATCH("Stockage dédié Tek (Tek Dedicated Storage)",Détail!$B$5:$B$31,0)),0)</f>
        <v>125</v>
      </c>
      <c r="D116" s="7" t="n">
        <f aca="false">IFERROR(INDEX(Détail!$F$5:$F$31,MATCH("Stockage dédié Tek (Tek Dedicated Storage)",Détail!$B$5:$B$31,0)),0)</f>
        <v>0</v>
      </c>
      <c r="E116" s="7" t="n">
        <f aca="false">IFERROR(INDEX(Détail!$G$5:$G$31,MATCH("Stockage dédié Tek (Tek Dedicated Storage)",Détail!$B$5:$B$31,0)),0)</f>
        <v>0</v>
      </c>
      <c r="F116" s="7" t="n">
        <f aca="false">IFERROR(INDEX(Détail!$H$5:$H$31,MATCH("Stockage dédié Tek (Tek Dedicated Storage)",Détail!$B$5:$B$31,0)),0)</f>
        <v>55</v>
      </c>
      <c r="G116" s="7" t="n">
        <f aca="false">IFERROR(INDEX(Détail!$I$5:$I$31,MATCH("Stockage dédié Tek (Tek Dedicated Storage)",Détail!$B$5:$B$31,0)),0)</f>
        <v>75</v>
      </c>
      <c r="H116" s="7" t="n">
        <f aca="false">IFERROR(INDEX(Détail!$J$5:$J$31,MATCH("Stockage dédié Tek (Tek Dedicated Storage)",Détail!$B$5:$B$31,0)),0)</f>
        <v>3</v>
      </c>
      <c r="I116" s="7" t="n">
        <f aca="false">IFERROR(INDEX(Détail!$K$5:$K$31,MATCH("Stockage dédié Tek (Tek Dedicated Storage)",Détail!$B$5:$B$31,0)),0)</f>
        <v>4</v>
      </c>
      <c r="J116" s="7" t="n">
        <f aca="false">IFERROR(INDEX(Détail!$L$5:$L$31,MATCH("Stockage dédié Tek (Tek Dedicated Storage)",Détail!$B$5:$B$31,0)),0)</f>
        <v>0</v>
      </c>
      <c r="K116" s="7" t="n">
        <f aca="false">IFERROR(INDEX(Détail!$M$5:$M$31,MATCH("Stockage dédié Tek (Tek Dedicated Storage)",Détail!$B$5:$B$31,0)),0)</f>
        <v>0</v>
      </c>
      <c r="L116" s="7" t="n">
        <f aca="false">IFERROR(INDEX(Détail!$N$5:$N$31,MATCH("Stockage dédié Tek (Tek Dedicated Storage)",Détail!$B$5:$B$31,0)),0)</f>
        <v>0</v>
      </c>
      <c r="M116" s="7" t="n">
        <f aca="false">IFERROR(INDEX(Détail!$O$5:$O$31,MATCH("Stockage dédié Tek (Tek Dedicated Storage)",Détail!$B$5:$B$31,0)),0)</f>
        <v>0</v>
      </c>
      <c r="N116" s="7" t="n">
        <f aca="false">IFERROR(INDEX(Détail!$P$5:$P$31,MATCH("Stockage dédié Tek (Tek Dedicated Storage)",Détail!$B$5:$B$31,0)),0)</f>
        <v>0</v>
      </c>
      <c r="O116" s="7" t="n">
        <f aca="false">IFERROR(INDEX(Détail!$Q$5:$Q$31,MATCH("Stockage dédié Tek (Tek Dedicated Storage)",Détail!$B$5:$B$31,0)),0)</f>
        <v>0</v>
      </c>
      <c r="P116" s="7" t="n">
        <f aca="false">IFERROR(INDEX(Détail!$R$5:$R$31,MATCH("Stockage dédié Tek (Tek Dedicated Storage)",Détail!$B$5:$B$31,0)),0)</f>
        <v>0</v>
      </c>
      <c r="Q116" s="14" t="n">
        <f aca="false">$B116*C116</f>
        <v>2500</v>
      </c>
      <c r="R116" s="14" t="n">
        <f aca="false">$B116*D116</f>
        <v>0</v>
      </c>
      <c r="S116" s="14" t="n">
        <f aca="false">$B116*E116</f>
        <v>0</v>
      </c>
      <c r="T116" s="14" t="n">
        <f aca="false">$B116*F116</f>
        <v>1100</v>
      </c>
      <c r="U116" s="14" t="n">
        <f aca="false">$B116*G116</f>
        <v>1500</v>
      </c>
      <c r="V116" s="14" t="n">
        <f aca="false">$B116*H116</f>
        <v>60</v>
      </c>
      <c r="W116" s="14" t="n">
        <f aca="false">$B116*I116</f>
        <v>80</v>
      </c>
      <c r="X116" s="14" t="n">
        <f aca="false">$B116*J116</f>
        <v>0</v>
      </c>
      <c r="Y116" s="14" t="n">
        <f aca="false">$B116*K116</f>
        <v>0</v>
      </c>
      <c r="Z116" s="14" t="n">
        <f aca="false">$B116*L116</f>
        <v>0</v>
      </c>
      <c r="AA116" s="14" t="n">
        <f aca="false">$B116*M116</f>
        <v>0</v>
      </c>
      <c r="AB116" s="14" t="n">
        <f aca="false">$B116*N116</f>
        <v>0</v>
      </c>
      <c r="AC116" s="14" t="n">
        <f aca="false">$B116*O116</f>
        <v>0</v>
      </c>
      <c r="AD116" s="14" t="n">
        <f aca="false">$B116*P116</f>
        <v>0</v>
      </c>
    </row>
    <row r="117" customFormat="false" ht="15" hidden="false" customHeight="false" outlineLevel="0" collapsed="false">
      <c r="A117" s="6" t="s">
        <v>141</v>
      </c>
      <c r="B117" s="16" t="n">
        <v>20</v>
      </c>
      <c r="C117" s="7" t="n">
        <f aca="false">IFERROR(INDEX(Détail!$E$5:$E$31,MATCH("Coffre-fort (Vault)",Détail!$B$5:$B$31,0)),0)</f>
        <v>500</v>
      </c>
      <c r="D117" s="7" t="n">
        <f aca="false">IFERROR(INDEX(Détail!$F$5:$F$31,MATCH("Coffre-fort (Vault)",Détail!$B$5:$B$31,0)),0)</f>
        <v>100</v>
      </c>
      <c r="E117" s="7" t="n">
        <f aca="false">IFERROR(INDEX(Détail!$G$5:$G$31,MATCH("Coffre-fort (Vault)",Détail!$B$5:$B$31,0)),0)</f>
        <v>0</v>
      </c>
      <c r="F117" s="7" t="n">
        <f aca="false">IFERROR(INDEX(Détail!$H$5:$H$31,MATCH("Coffre-fort (Vault)",Détail!$B$5:$B$31,0)),0)</f>
        <v>90</v>
      </c>
      <c r="G117" s="7" t="n">
        <f aca="false">IFERROR(INDEX(Détail!$I$5:$I$31,MATCH("Coffre-fort (Vault)",Détail!$B$5:$B$31,0)),0)</f>
        <v>0</v>
      </c>
      <c r="H117" s="7" t="n">
        <f aca="false">IFERROR(INDEX(Détail!$J$5:$J$31,MATCH("Coffre-fort (Vault)",Détail!$B$5:$B$31,0)),0)</f>
        <v>0</v>
      </c>
      <c r="I117" s="7" t="n">
        <f aca="false">IFERROR(INDEX(Détail!$K$5:$K$31,MATCH("Coffre-fort (Vault)",Détail!$B$5:$B$31,0)),0)</f>
        <v>0</v>
      </c>
      <c r="J117" s="7" t="n">
        <f aca="false">IFERROR(INDEX(Détail!$L$5:$L$31,MATCH("Coffre-fort (Vault)",Détail!$B$5:$B$31,0)),0)</f>
        <v>70</v>
      </c>
      <c r="K117" s="7" t="n">
        <f aca="false">IFERROR(INDEX(Détail!$M$5:$M$31,MATCH("Coffre-fort (Vault)",Détail!$B$5:$B$31,0)),0)</f>
        <v>0</v>
      </c>
      <c r="L117" s="7" t="n">
        <f aca="false">IFERROR(INDEX(Détail!$N$5:$N$31,MATCH("Coffre-fort (Vault)",Détail!$B$5:$B$31,0)),0)</f>
        <v>0</v>
      </c>
      <c r="M117" s="7" t="n">
        <f aca="false">IFERROR(INDEX(Détail!$O$5:$O$31,MATCH("Coffre-fort (Vault)",Détail!$B$5:$B$31,0)),0)</f>
        <v>0</v>
      </c>
      <c r="N117" s="7" t="n">
        <f aca="false">IFERROR(INDEX(Détail!$P$5:$P$31,MATCH("Coffre-fort (Vault)",Détail!$B$5:$B$31,0)),0)</f>
        <v>0</v>
      </c>
      <c r="O117" s="7" t="n">
        <f aca="false">IFERROR(INDEX(Détail!$Q$5:$Q$31,MATCH("Coffre-fort (Vault)",Détail!$B$5:$B$31,0)),0)</f>
        <v>0</v>
      </c>
      <c r="P117" s="7" t="n">
        <f aca="false">IFERROR(INDEX(Détail!$R$5:$R$31,MATCH("Coffre-fort (Vault)",Détail!$B$5:$B$31,0)),0)</f>
        <v>0</v>
      </c>
      <c r="Q117" s="14" t="n">
        <f aca="false">$B117*C117</f>
        <v>10000</v>
      </c>
      <c r="R117" s="14" t="n">
        <f aca="false">$B117*D117</f>
        <v>2000</v>
      </c>
      <c r="S117" s="14" t="n">
        <f aca="false">$B117*E117</f>
        <v>0</v>
      </c>
      <c r="T117" s="14" t="n">
        <f aca="false">$B117*F117</f>
        <v>1800</v>
      </c>
      <c r="U117" s="14" t="n">
        <f aca="false">$B117*G117</f>
        <v>0</v>
      </c>
      <c r="V117" s="14" t="n">
        <f aca="false">$B117*H117</f>
        <v>0</v>
      </c>
      <c r="W117" s="14" t="n">
        <f aca="false">$B117*I117</f>
        <v>0</v>
      </c>
      <c r="X117" s="14" t="n">
        <f aca="false">$B117*J117</f>
        <v>1400</v>
      </c>
      <c r="Y117" s="14" t="n">
        <f aca="false">$B117*K117</f>
        <v>0</v>
      </c>
      <c r="Z117" s="14" t="n">
        <f aca="false">$B117*L117</f>
        <v>0</v>
      </c>
      <c r="AA117" s="14" t="n">
        <f aca="false">$B117*M117</f>
        <v>0</v>
      </c>
      <c r="AB117" s="14" t="n">
        <f aca="false">$B117*N117</f>
        <v>0</v>
      </c>
      <c r="AC117" s="14" t="n">
        <f aca="false">$B117*O117</f>
        <v>0</v>
      </c>
      <c r="AD117" s="14" t="n">
        <f aca="false">$B117*P117</f>
        <v>0</v>
      </c>
    </row>
    <row r="118" customFormat="false" ht="15" hidden="false" customHeight="false" outlineLevel="0" collapsed="false">
      <c r="A118" s="6" t="s">
        <v>142</v>
      </c>
      <c r="B118" s="16" t="n">
        <v>8</v>
      </c>
      <c r="C118" s="7" t="n">
        <f aca="false">IFERROR(INDEX(Détail!$E$5:$E$31,MATCH("Demi-pilier métal (ancre)",Détail!$B$5:$B$31,0)),0)</f>
        <v>13</v>
      </c>
      <c r="D118" s="7" t="n">
        <f aca="false">IFERROR(INDEX(Détail!$F$5:$F$31,MATCH("Demi-pilier métal (ancre)",Détail!$B$5:$B$31,0)),0)</f>
        <v>4</v>
      </c>
      <c r="E118" s="7" t="n">
        <f aca="false">IFERROR(INDEX(Détail!$G$5:$G$31,MATCH("Demi-pilier métal (ancre)",Détail!$B$5:$B$31,0)),0)</f>
        <v>0</v>
      </c>
      <c r="F118" s="7" t="n">
        <f aca="false">IFERROR(INDEX(Détail!$H$5:$H$31,MATCH("Demi-pilier métal (ancre)",Détail!$B$5:$B$31,0)),0)</f>
        <v>0</v>
      </c>
      <c r="G118" s="7" t="n">
        <f aca="false">IFERROR(INDEX(Détail!$I$5:$I$31,MATCH("Demi-pilier métal (ancre)",Détail!$B$5:$B$31,0)),0)</f>
        <v>0</v>
      </c>
      <c r="H118" s="7" t="n">
        <f aca="false">IFERROR(INDEX(Détail!$J$5:$J$31,MATCH("Demi-pilier métal (ancre)",Détail!$B$5:$B$31,0)),0)</f>
        <v>0</v>
      </c>
      <c r="I118" s="7" t="n">
        <f aca="false">IFERROR(INDEX(Détail!$K$5:$K$31,MATCH("Demi-pilier métal (ancre)",Détail!$B$5:$B$31,0)),0)</f>
        <v>0</v>
      </c>
      <c r="J118" s="7" t="n">
        <f aca="false">IFERROR(INDEX(Détail!$L$5:$L$31,MATCH("Demi-pilier métal (ancre)",Détail!$B$5:$B$31,0)),0)</f>
        <v>0</v>
      </c>
      <c r="K118" s="7" t="n">
        <f aca="false">IFERROR(INDEX(Détail!$M$5:$M$31,MATCH("Demi-pilier métal (ancre)",Détail!$B$5:$B$31,0)),0)</f>
        <v>0</v>
      </c>
      <c r="L118" s="7" t="n">
        <f aca="false">IFERROR(INDEX(Détail!$N$5:$N$31,MATCH("Demi-pilier métal (ancre)",Détail!$B$5:$B$31,0)),0)</f>
        <v>0</v>
      </c>
      <c r="M118" s="7" t="n">
        <f aca="false">IFERROR(INDEX(Détail!$O$5:$O$31,MATCH("Demi-pilier métal (ancre)",Détail!$B$5:$B$31,0)),0)</f>
        <v>0</v>
      </c>
      <c r="N118" s="7" t="n">
        <f aca="false">IFERROR(INDEX(Détail!$P$5:$P$31,MATCH("Demi-pilier métal (ancre)",Détail!$B$5:$B$31,0)),0)</f>
        <v>0</v>
      </c>
      <c r="O118" s="7" t="n">
        <f aca="false">IFERROR(INDEX(Détail!$Q$5:$Q$31,MATCH("Demi-pilier métal (ancre)",Détail!$B$5:$B$31,0)),0)</f>
        <v>0</v>
      </c>
      <c r="P118" s="7" t="n">
        <f aca="false">IFERROR(INDEX(Détail!$R$5:$R$31,MATCH("Demi-pilier métal (ancre)",Détail!$B$5:$B$31,0)),0)</f>
        <v>0</v>
      </c>
      <c r="Q118" s="14" t="n">
        <f aca="false">$B118*C118</f>
        <v>104</v>
      </c>
      <c r="R118" s="14" t="n">
        <f aca="false">$B118*D118</f>
        <v>32</v>
      </c>
      <c r="S118" s="14" t="n">
        <f aca="false">$B118*E118</f>
        <v>0</v>
      </c>
      <c r="T118" s="14" t="n">
        <f aca="false">$B118*F118</f>
        <v>0</v>
      </c>
      <c r="U118" s="14" t="n">
        <f aca="false">$B118*G118</f>
        <v>0</v>
      </c>
      <c r="V118" s="14" t="n">
        <f aca="false">$B118*H118</f>
        <v>0</v>
      </c>
      <c r="W118" s="14" t="n">
        <f aca="false">$B118*I118</f>
        <v>0</v>
      </c>
      <c r="X118" s="14" t="n">
        <f aca="false">$B118*J118</f>
        <v>0</v>
      </c>
      <c r="Y118" s="14" t="n">
        <f aca="false">$B118*K118</f>
        <v>0</v>
      </c>
      <c r="Z118" s="14" t="n">
        <f aca="false">$B118*L118</f>
        <v>0</v>
      </c>
      <c r="AA118" s="14" t="n">
        <f aca="false">$B118*M118</f>
        <v>0</v>
      </c>
      <c r="AB118" s="14" t="n">
        <f aca="false">$B118*N118</f>
        <v>0</v>
      </c>
      <c r="AC118" s="14" t="n">
        <f aca="false">$B118*O118</f>
        <v>0</v>
      </c>
      <c r="AD118" s="14" t="n">
        <f aca="false">$B118*P118</f>
        <v>0</v>
      </c>
    </row>
    <row r="119" customFormat="false" ht="15" hidden="false" customHeight="false" outlineLevel="0" collapsed="false">
      <c r="A119" s="6" t="s">
        <v>143</v>
      </c>
      <c r="B119" s="16" t="n">
        <v>2</v>
      </c>
      <c r="C119" s="7" t="n">
        <f aca="false">IFERROR(INDEX(Détail!$E$5:$E$31,MATCH("Générateur Tek",Détail!$B$5:$B$31,0)),0)</f>
        <v>2400</v>
      </c>
      <c r="D119" s="7" t="n">
        <f aca="false">IFERROR(INDEX(Détail!$F$5:$F$31,MATCH("Générateur Tek",Détail!$B$5:$B$31,0)),0)</f>
        <v>0</v>
      </c>
      <c r="E119" s="7" t="n">
        <f aca="false">IFERROR(INDEX(Détail!$G$5:$G$31,MATCH("Générateur Tek",Détail!$B$5:$B$31,0)),0)</f>
        <v>0</v>
      </c>
      <c r="F119" s="7" t="n">
        <f aca="false">IFERROR(INDEX(Détail!$H$5:$H$31,MATCH("Générateur Tek",Détail!$B$5:$B$31,0)),0)</f>
        <v>500</v>
      </c>
      <c r="G119" s="7" t="n">
        <f aca="false">IFERROR(INDEX(Détail!$I$5:$I$31,MATCH("Générateur Tek",Détail!$B$5:$B$31,0)),0)</f>
        <v>250</v>
      </c>
      <c r="H119" s="7" t="n">
        <f aca="false">IFERROR(INDEX(Détail!$J$5:$J$31,MATCH("Générateur Tek",Détail!$B$5:$B$31,0)),0)</f>
        <v>30</v>
      </c>
      <c r="I119" s="7" t="n">
        <f aca="false">IFERROR(INDEX(Détail!$K$5:$K$31,MATCH("Générateur Tek",Détail!$B$5:$B$31,0)),0)</f>
        <v>120</v>
      </c>
      <c r="J119" s="7" t="n">
        <f aca="false">IFERROR(INDEX(Détail!$L$5:$L$31,MATCH("Générateur Tek",Détail!$B$5:$B$31,0)),0)</f>
        <v>0</v>
      </c>
      <c r="K119" s="7" t="n">
        <f aca="false">IFERROR(INDEX(Détail!$M$5:$M$31,MATCH("Générateur Tek",Détail!$B$5:$B$31,0)),0)</f>
        <v>0</v>
      </c>
      <c r="L119" s="7" t="n">
        <f aca="false">IFERROR(INDEX(Détail!$N$5:$N$31,MATCH("Générateur Tek",Détail!$B$5:$B$31,0)),0)</f>
        <v>0</v>
      </c>
      <c r="M119" s="7" t="n">
        <f aca="false">IFERROR(INDEX(Détail!$O$5:$O$31,MATCH("Générateur Tek",Détail!$B$5:$B$31,0)),0)</f>
        <v>0</v>
      </c>
      <c r="N119" s="7" t="n">
        <f aca="false">IFERROR(INDEX(Détail!$P$5:$P$31,MATCH("Générateur Tek",Détail!$B$5:$B$31,0)),0)</f>
        <v>0</v>
      </c>
      <c r="O119" s="7" t="n">
        <f aca="false">IFERROR(INDEX(Détail!$Q$5:$Q$31,MATCH("Générateur Tek",Détail!$B$5:$B$31,0)),0)</f>
        <v>0</v>
      </c>
      <c r="P119" s="7" t="n">
        <f aca="false">IFERROR(INDEX(Détail!$R$5:$R$31,MATCH("Générateur Tek",Détail!$B$5:$B$31,0)),0)</f>
        <v>0</v>
      </c>
      <c r="Q119" s="14" t="n">
        <f aca="false">$B119*C119</f>
        <v>4800</v>
      </c>
      <c r="R119" s="14" t="n">
        <f aca="false">$B119*D119</f>
        <v>0</v>
      </c>
      <c r="S119" s="14" t="n">
        <f aca="false">$B119*E119</f>
        <v>0</v>
      </c>
      <c r="T119" s="14" t="n">
        <f aca="false">$B119*F119</f>
        <v>1000</v>
      </c>
      <c r="U119" s="14" t="n">
        <f aca="false">$B119*G119</f>
        <v>500</v>
      </c>
      <c r="V119" s="14" t="n">
        <f aca="false">$B119*H119</f>
        <v>60</v>
      </c>
      <c r="W119" s="14" t="n">
        <f aca="false">$B119*I119</f>
        <v>240</v>
      </c>
      <c r="X119" s="14" t="n">
        <f aca="false">$B119*J119</f>
        <v>0</v>
      </c>
      <c r="Y119" s="14" t="n">
        <f aca="false">$B119*K119</f>
        <v>0</v>
      </c>
      <c r="Z119" s="14" t="n">
        <f aca="false">$B119*L119</f>
        <v>0</v>
      </c>
      <c r="AA119" s="14" t="n">
        <f aca="false">$B119*M119</f>
        <v>0</v>
      </c>
      <c r="AB119" s="14" t="n">
        <f aca="false">$B119*N119</f>
        <v>0</v>
      </c>
      <c r="AC119" s="14" t="n">
        <f aca="false">$B119*O119</f>
        <v>0</v>
      </c>
      <c r="AD119" s="14" t="n">
        <f aca="false">$B119*P119</f>
        <v>0</v>
      </c>
    </row>
    <row r="120" customFormat="false" ht="15" hidden="false" customHeight="false" outlineLevel="0" collapsed="false">
      <c r="A120" s="6" t="s">
        <v>144</v>
      </c>
      <c r="B120" s="16" t="n">
        <v>2</v>
      </c>
      <c r="C120" s="7" t="n">
        <f aca="false">IFERROR(INDEX(Détail!$E$5:$E$31,MATCH("Boîte de munitions (Ammo Box)",Détail!$B$5:$B$31,0)),0)</f>
        <v>0</v>
      </c>
      <c r="D120" s="7" t="n">
        <f aca="false">IFERROR(INDEX(Détail!$F$5:$F$31,MATCH("Boîte de munitions (Ammo Box)",Détail!$B$5:$B$31,0)),0)</f>
        <v>0</v>
      </c>
      <c r="E120" s="7" t="n">
        <f aca="false">IFERROR(INDEX(Détail!$G$5:$G$31,MATCH("Boîte de munitions (Ammo Box)",Détail!$B$5:$B$31,0)),0)</f>
        <v>0</v>
      </c>
      <c r="F120" s="7" t="n">
        <f aca="false">IFERROR(INDEX(Détail!$H$5:$H$31,MATCH("Boîte de munitions (Ammo Box)",Détail!$B$5:$B$31,0)),0)</f>
        <v>0</v>
      </c>
      <c r="G120" s="7" t="n">
        <f aca="false">IFERROR(INDEX(Détail!$I$5:$I$31,MATCH("Boîte de munitions (Ammo Box)",Détail!$B$5:$B$31,0)),0)</f>
        <v>0</v>
      </c>
      <c r="H120" s="7" t="n">
        <f aca="false">IFERROR(INDEX(Détail!$J$5:$J$31,MATCH("Boîte de munitions (Ammo Box)",Détail!$B$5:$B$31,0)),0)</f>
        <v>0</v>
      </c>
      <c r="I120" s="7" t="n">
        <f aca="false">IFERROR(INDEX(Détail!$K$5:$K$31,MATCH("Boîte de munitions (Ammo Box)",Détail!$B$5:$B$31,0)),0)</f>
        <v>0</v>
      </c>
      <c r="J120" s="7" t="n">
        <f aca="false">IFERROR(INDEX(Détail!$L$5:$L$31,MATCH("Boîte de munitions (Ammo Box)",Détail!$B$5:$B$31,0)),0)</f>
        <v>0</v>
      </c>
      <c r="K120" s="7" t="n">
        <f aca="false">IFERROR(INDEX(Détail!$M$5:$M$31,MATCH("Boîte de munitions (Ammo Box)",Détail!$B$5:$B$31,0)),0)</f>
        <v>0</v>
      </c>
      <c r="L120" s="7" t="n">
        <f aca="false">IFERROR(INDEX(Détail!$N$5:$N$31,MATCH("Boîte de munitions (Ammo Box)",Détail!$B$5:$B$31,0)),0)</f>
        <v>0</v>
      </c>
      <c r="M120" s="7" t="n">
        <f aca="false">IFERROR(INDEX(Détail!$O$5:$O$31,MATCH("Boîte de munitions (Ammo Box)",Détail!$B$5:$B$31,0)),0)</f>
        <v>0</v>
      </c>
      <c r="N120" s="7" t="n">
        <f aca="false">IFERROR(INDEX(Détail!$P$5:$P$31,MATCH("Boîte de munitions (Ammo Box)",Détail!$B$5:$B$31,0)),0)</f>
        <v>0</v>
      </c>
      <c r="O120" s="7" t="n">
        <f aca="false">IFERROR(INDEX(Détail!$Q$5:$Q$31,MATCH("Boîte de munitions (Ammo Box)",Détail!$B$5:$B$31,0)),0)</f>
        <v>0</v>
      </c>
      <c r="P120" s="7" t="n">
        <f aca="false">IFERROR(INDEX(Détail!$R$5:$R$31,MATCH("Boîte de munitions (Ammo Box)",Détail!$B$5:$B$31,0)),0)</f>
        <v>0</v>
      </c>
      <c r="Q120" s="14" t="n">
        <f aca="false">$B120*C120</f>
        <v>0</v>
      </c>
      <c r="R120" s="14" t="n">
        <f aca="false">$B120*D120</f>
        <v>0</v>
      </c>
      <c r="S120" s="14" t="n">
        <f aca="false">$B120*E120</f>
        <v>0</v>
      </c>
      <c r="T120" s="14" t="n">
        <f aca="false">$B120*F120</f>
        <v>0</v>
      </c>
      <c r="U120" s="14" t="n">
        <f aca="false">$B120*G120</f>
        <v>0</v>
      </c>
      <c r="V120" s="14" t="n">
        <f aca="false">$B120*H120</f>
        <v>0</v>
      </c>
      <c r="W120" s="14" t="n">
        <f aca="false">$B120*I120</f>
        <v>0</v>
      </c>
      <c r="X120" s="14" t="n">
        <f aca="false">$B120*J120</f>
        <v>0</v>
      </c>
      <c r="Y120" s="14" t="n">
        <f aca="false">$B120*K120</f>
        <v>0</v>
      </c>
      <c r="Z120" s="14" t="n">
        <f aca="false">$B120*L120</f>
        <v>0</v>
      </c>
      <c r="AA120" s="14" t="n">
        <f aca="false">$B120*M120</f>
        <v>0</v>
      </c>
      <c r="AB120" s="14" t="n">
        <f aca="false">$B120*N120</f>
        <v>0</v>
      </c>
      <c r="AC120" s="14" t="n">
        <f aca="false">$B120*O120</f>
        <v>0</v>
      </c>
      <c r="AD120" s="14" t="n">
        <f aca="false">$B120*P120</f>
        <v>0</v>
      </c>
    </row>
    <row r="121" customFormat="false" ht="15" hidden="false" customHeight="false" outlineLevel="0" collapsed="false">
      <c r="A121" s="6" t="s">
        <v>145</v>
      </c>
      <c r="B121" s="16" t="n">
        <v>1</v>
      </c>
      <c r="C121" s="7" t="n">
        <f aca="false">IFERROR(INDEX(Détail!$E$5:$E$31,MATCH("Réplicateur Tek",Détail!$B$5:$B$31,0)),0)</f>
        <v>5000</v>
      </c>
      <c r="D121" s="7" t="n">
        <f aca="false">IFERROR(INDEX(Détail!$F$5:$F$31,MATCH("Réplicateur Tek",Détail!$B$5:$B$31,0)),0)</f>
        <v>0</v>
      </c>
      <c r="E121" s="7" t="n">
        <f aca="false">IFERROR(INDEX(Détail!$G$5:$G$31,MATCH("Réplicateur Tek",Détail!$B$5:$B$31,0)),0)</f>
        <v>0</v>
      </c>
      <c r="F121" s="7" t="n">
        <f aca="false">IFERROR(INDEX(Détail!$H$5:$H$31,MATCH("Réplicateur Tek",Détail!$B$5:$B$31,0)),0)</f>
        <v>800</v>
      </c>
      <c r="G121" s="7" t="n">
        <f aca="false">IFERROR(INDEX(Détail!$I$5:$I$31,MATCH("Réplicateur Tek",Détail!$B$5:$B$31,0)),0)</f>
        <v>600</v>
      </c>
      <c r="H121" s="7" t="n">
        <f aca="false">IFERROR(INDEX(Détail!$J$5:$J$31,MATCH("Réplicateur Tek",Détail!$B$5:$B$31,0)),0)</f>
        <v>100</v>
      </c>
      <c r="I121" s="7" t="n">
        <f aca="false">IFERROR(INDEX(Détail!$K$5:$K$31,MATCH("Réplicateur Tek",Détail!$B$5:$B$31,0)),0)</f>
        <v>150</v>
      </c>
      <c r="J121" s="7" t="n">
        <f aca="false">IFERROR(INDEX(Détail!$L$5:$L$31,MATCH("Réplicateur Tek",Détail!$B$5:$B$31,0)),0)</f>
        <v>0</v>
      </c>
      <c r="K121" s="7" t="n">
        <f aca="false">IFERROR(INDEX(Détail!$M$5:$M$31,MATCH("Réplicateur Tek",Détail!$B$5:$B$31,0)),0)</f>
        <v>0</v>
      </c>
      <c r="L121" s="7" t="n">
        <f aca="false">IFERROR(INDEX(Détail!$N$5:$N$31,MATCH("Réplicateur Tek",Détail!$B$5:$B$31,0)),0)</f>
        <v>0</v>
      </c>
      <c r="M121" s="7" t="n">
        <f aca="false">IFERROR(INDEX(Détail!$O$5:$O$31,MATCH("Réplicateur Tek",Détail!$B$5:$B$31,0)),0)</f>
        <v>0</v>
      </c>
      <c r="N121" s="7" t="n">
        <f aca="false">IFERROR(INDEX(Détail!$P$5:$P$31,MATCH("Réplicateur Tek",Détail!$B$5:$B$31,0)),0)</f>
        <v>0</v>
      </c>
      <c r="O121" s="7" t="n">
        <f aca="false">IFERROR(INDEX(Détail!$Q$5:$Q$31,MATCH("Réplicateur Tek",Détail!$B$5:$B$31,0)),0)</f>
        <v>0</v>
      </c>
      <c r="P121" s="7" t="n">
        <f aca="false">IFERROR(INDEX(Détail!$R$5:$R$31,MATCH("Réplicateur Tek",Détail!$B$5:$B$31,0)),0)</f>
        <v>0</v>
      </c>
      <c r="Q121" s="14" t="n">
        <f aca="false">$B121*C121</f>
        <v>5000</v>
      </c>
      <c r="R121" s="14" t="n">
        <f aca="false">$B121*D121</f>
        <v>0</v>
      </c>
      <c r="S121" s="14" t="n">
        <f aca="false">$B121*E121</f>
        <v>0</v>
      </c>
      <c r="T121" s="14" t="n">
        <f aca="false">$B121*F121</f>
        <v>800</v>
      </c>
      <c r="U121" s="14" t="n">
        <f aca="false">$B121*G121</f>
        <v>600</v>
      </c>
      <c r="V121" s="14" t="n">
        <f aca="false">$B121*H121</f>
        <v>100</v>
      </c>
      <c r="W121" s="14" t="n">
        <f aca="false">$B121*I121</f>
        <v>150</v>
      </c>
      <c r="X121" s="14" t="n">
        <f aca="false">$B121*J121</f>
        <v>0</v>
      </c>
      <c r="Y121" s="14" t="n">
        <f aca="false">$B121*K121</f>
        <v>0</v>
      </c>
      <c r="Z121" s="14" t="n">
        <f aca="false">$B121*L121</f>
        <v>0</v>
      </c>
      <c r="AA121" s="14" t="n">
        <f aca="false">$B121*M121</f>
        <v>0</v>
      </c>
      <c r="AB121" s="14" t="n">
        <f aca="false">$B121*N121</f>
        <v>0</v>
      </c>
      <c r="AC121" s="14" t="n">
        <f aca="false">$B121*O121</f>
        <v>0</v>
      </c>
      <c r="AD121" s="14" t="n">
        <f aca="false">$B121*P121</f>
        <v>0</v>
      </c>
    </row>
    <row r="122" customFormat="false" ht="15" hidden="false" customHeight="false" outlineLevel="0" collapsed="false">
      <c r="A122" s="6" t="s">
        <v>146</v>
      </c>
      <c r="B122" s="16" t="n">
        <v>1</v>
      </c>
      <c r="C122" s="7" t="n">
        <f aca="false">IFERROR(INDEX(Détail!$E$5:$E$31,MATCH("Forge à vapeur (Steam Forge)",Détail!$B$5:$B$31,0)),0)</f>
        <v>3250</v>
      </c>
      <c r="D122" s="7" t="n">
        <f aca="false">IFERROR(INDEX(Détail!$F$5:$F$31,MATCH("Forge à vapeur (Steam Forge)",Détail!$B$5:$B$31,0)),0)</f>
        <v>600</v>
      </c>
      <c r="E122" s="7" t="n">
        <f aca="false">IFERROR(INDEX(Détail!$G$5:$G$31,MATCH("Forge à vapeur (Steam Forge)",Détail!$B$5:$B$31,0)),0)</f>
        <v>200</v>
      </c>
      <c r="F122" s="7" t="n">
        <f aca="false">IFERROR(INDEX(Détail!$H$5:$H$31,MATCH("Forge à vapeur (Steam Forge)",Détail!$B$5:$B$31,0)),0)</f>
        <v>1000</v>
      </c>
      <c r="G122" s="7" t="n">
        <f aca="false">IFERROR(INDEX(Détail!$I$5:$I$31,MATCH("Forge à vapeur (Steam Forge)",Détail!$B$5:$B$31,0)),0)</f>
        <v>500</v>
      </c>
      <c r="H122" s="7" t="n">
        <f aca="false">IFERROR(INDEX(Détail!$J$5:$J$31,MATCH("Forge à vapeur (Steam Forge)",Détail!$B$5:$B$31,0)),0)</f>
        <v>0</v>
      </c>
      <c r="I122" s="7" t="n">
        <f aca="false">IFERROR(INDEX(Détail!$K$5:$K$31,MATCH("Forge à vapeur (Steam Forge)",Détail!$B$5:$B$31,0)),0)</f>
        <v>0</v>
      </c>
      <c r="J122" s="7" t="n">
        <f aca="false">IFERROR(INDEX(Détail!$L$5:$L$31,MATCH("Forge à vapeur (Steam Forge)",Détail!$B$5:$B$31,0)),0)</f>
        <v>0</v>
      </c>
      <c r="K122" s="7" t="n">
        <f aca="false">IFERROR(INDEX(Détail!$M$5:$M$31,MATCH("Forge à vapeur (Steam Forge)",Détail!$B$5:$B$31,0)),0)</f>
        <v>0</v>
      </c>
      <c r="L122" s="7" t="n">
        <f aca="false">IFERROR(INDEX(Détail!$N$5:$N$31,MATCH("Forge à vapeur (Steam Forge)",Détail!$B$5:$B$31,0)),0)</f>
        <v>0</v>
      </c>
      <c r="M122" s="7" t="n">
        <f aca="false">IFERROR(INDEX(Détail!$O$5:$O$31,MATCH("Forge à vapeur (Steam Forge)",Détail!$B$5:$B$31,0)),0)</f>
        <v>0</v>
      </c>
      <c r="N122" s="7" t="n">
        <f aca="false">IFERROR(INDEX(Détail!$P$5:$P$31,MATCH("Forge à vapeur (Steam Forge)",Détail!$B$5:$B$31,0)),0)</f>
        <v>0</v>
      </c>
      <c r="O122" s="7" t="n">
        <f aca="false">IFERROR(INDEX(Détail!$Q$5:$Q$31,MATCH("Forge à vapeur (Steam Forge)",Détail!$B$5:$B$31,0)),0)</f>
        <v>0</v>
      </c>
      <c r="P122" s="7" t="n">
        <f aca="false">IFERROR(INDEX(Détail!$R$5:$R$31,MATCH("Forge à vapeur (Steam Forge)",Détail!$B$5:$B$31,0)),0)</f>
        <v>0</v>
      </c>
      <c r="Q122" s="14" t="n">
        <f aca="false">$B122*C122</f>
        <v>3250</v>
      </c>
      <c r="R122" s="14" t="n">
        <f aca="false">$B122*D122</f>
        <v>600</v>
      </c>
      <c r="S122" s="14" t="n">
        <f aca="false">$B122*E122</f>
        <v>200</v>
      </c>
      <c r="T122" s="14" t="n">
        <f aca="false">$B122*F122</f>
        <v>1000</v>
      </c>
      <c r="U122" s="14" t="n">
        <f aca="false">$B122*G122</f>
        <v>500</v>
      </c>
      <c r="V122" s="14" t="n">
        <f aca="false">$B122*H122</f>
        <v>0</v>
      </c>
      <c r="W122" s="14" t="n">
        <f aca="false">$B122*I122</f>
        <v>0</v>
      </c>
      <c r="X122" s="14" t="n">
        <f aca="false">$B122*J122</f>
        <v>0</v>
      </c>
      <c r="Y122" s="14" t="n">
        <f aca="false">$B122*K122</f>
        <v>0</v>
      </c>
      <c r="Z122" s="14" t="n">
        <f aca="false">$B122*L122</f>
        <v>0</v>
      </c>
      <c r="AA122" s="14" t="n">
        <f aca="false">$B122*M122</f>
        <v>0</v>
      </c>
      <c r="AB122" s="14" t="n">
        <f aca="false">$B122*N122</f>
        <v>0</v>
      </c>
      <c r="AC122" s="14" t="n">
        <f aca="false">$B122*O122</f>
        <v>0</v>
      </c>
      <c r="AD122" s="14" t="n">
        <f aca="false">$B122*P122</f>
        <v>0</v>
      </c>
    </row>
    <row r="123" customFormat="false" ht="15" hidden="false" customHeight="false" outlineLevel="0" collapsed="false">
      <c r="A123" s="6" t="s">
        <v>147</v>
      </c>
      <c r="B123" s="16" t="n">
        <v>1</v>
      </c>
      <c r="C123" s="7" t="n">
        <f aca="false">IFERROR(INDEX(Détail!$E$5:$E$31,MATCH("Labo de fortune (Makeshift Megalab)",Détail!$B$5:$B$31,0)),0)</f>
        <v>450</v>
      </c>
      <c r="D123" s="7" t="n">
        <f aca="false">IFERROR(INDEX(Détail!$F$5:$F$31,MATCH("Labo de fortune (Makeshift Megalab)",Détail!$B$5:$B$31,0)),0)</f>
        <v>300</v>
      </c>
      <c r="E123" s="7" t="n">
        <f aca="false">IFERROR(INDEX(Détail!$G$5:$G$31,MATCH("Labo de fortune (Makeshift Megalab)",Détail!$B$5:$B$31,0)),0)</f>
        <v>20</v>
      </c>
      <c r="F123" s="7" t="n">
        <f aca="false">IFERROR(INDEX(Détail!$H$5:$H$31,MATCH("Labo de fortune (Makeshift Megalab)",Détail!$B$5:$B$31,0)),0)</f>
        <v>150</v>
      </c>
      <c r="G123" s="7" t="n">
        <f aca="false">IFERROR(INDEX(Détail!$I$5:$I$31,MATCH("Labo de fortune (Makeshift Megalab)",Détail!$B$5:$B$31,0)),0)</f>
        <v>250</v>
      </c>
      <c r="H123" s="7" t="n">
        <f aca="false">IFERROR(INDEX(Détail!$J$5:$J$31,MATCH("Labo de fortune (Makeshift Megalab)",Détail!$B$5:$B$31,0)),0)</f>
        <v>0</v>
      </c>
      <c r="I123" s="7" t="n">
        <f aca="false">IFERROR(INDEX(Détail!$K$5:$K$31,MATCH("Labo de fortune (Makeshift Megalab)",Détail!$B$5:$B$31,0)),0)</f>
        <v>0</v>
      </c>
      <c r="J123" s="7" t="n">
        <f aca="false">IFERROR(INDEX(Détail!$L$5:$L$31,MATCH("Labo de fortune (Makeshift Megalab)",Détail!$B$5:$B$31,0)),0)</f>
        <v>0</v>
      </c>
      <c r="K123" s="7" t="n">
        <f aca="false">IFERROR(INDEX(Détail!$M$5:$M$31,MATCH("Labo de fortune (Makeshift Megalab)",Détail!$B$5:$B$31,0)),0)</f>
        <v>100</v>
      </c>
      <c r="L123" s="7" t="n">
        <f aca="false">IFERROR(INDEX(Détail!$N$5:$N$31,MATCH("Labo de fortune (Makeshift Megalab)",Détail!$B$5:$B$31,0)),0)</f>
        <v>0</v>
      </c>
      <c r="M123" s="7" t="n">
        <f aca="false">IFERROR(INDEX(Détail!$O$5:$O$31,MATCH("Labo de fortune (Makeshift Megalab)",Détail!$B$5:$B$31,0)),0)</f>
        <v>0</v>
      </c>
      <c r="N123" s="7" t="n">
        <f aca="false">IFERROR(INDEX(Détail!$P$5:$P$31,MATCH("Labo de fortune (Makeshift Megalab)",Détail!$B$5:$B$31,0)),0)</f>
        <v>0</v>
      </c>
      <c r="O123" s="7" t="n">
        <f aca="false">IFERROR(INDEX(Détail!$Q$5:$Q$31,MATCH("Labo de fortune (Makeshift Megalab)",Détail!$B$5:$B$31,0)),0)</f>
        <v>0</v>
      </c>
      <c r="P123" s="7" t="n">
        <f aca="false">IFERROR(INDEX(Détail!$R$5:$R$31,MATCH("Labo de fortune (Makeshift Megalab)",Détail!$B$5:$B$31,0)),0)</f>
        <v>0</v>
      </c>
      <c r="Q123" s="14" t="n">
        <f aca="false">$B123*C123</f>
        <v>450</v>
      </c>
      <c r="R123" s="14" t="n">
        <f aca="false">$B123*D123</f>
        <v>300</v>
      </c>
      <c r="S123" s="14" t="n">
        <f aca="false">$B123*E123</f>
        <v>20</v>
      </c>
      <c r="T123" s="14" t="n">
        <f aca="false">$B123*F123</f>
        <v>150</v>
      </c>
      <c r="U123" s="14" t="n">
        <f aca="false">$B123*G123</f>
        <v>250</v>
      </c>
      <c r="V123" s="14" t="n">
        <f aca="false">$B123*H123</f>
        <v>0</v>
      </c>
      <c r="W123" s="14" t="n">
        <f aca="false">$B123*I123</f>
        <v>0</v>
      </c>
      <c r="X123" s="14" t="n">
        <f aca="false">$B123*J123</f>
        <v>0</v>
      </c>
      <c r="Y123" s="14" t="n">
        <f aca="false">$B123*K123</f>
        <v>100</v>
      </c>
      <c r="Z123" s="14" t="n">
        <f aca="false">$B123*L123</f>
        <v>0</v>
      </c>
      <c r="AA123" s="14" t="n">
        <f aca="false">$B123*M123</f>
        <v>0</v>
      </c>
      <c r="AB123" s="14" t="n">
        <f aca="false">$B123*N123</f>
        <v>0</v>
      </c>
      <c r="AC123" s="14" t="n">
        <f aca="false">$B123*O123</f>
        <v>0</v>
      </c>
      <c r="AD123" s="14" t="n">
        <f aca="false">$B123*P123</f>
        <v>0</v>
      </c>
    </row>
    <row r="124" customFormat="false" ht="15" hidden="false" customHeight="false" outlineLevel="0" collapsed="false">
      <c r="A124" s="8" t="s">
        <v>99</v>
      </c>
      <c r="B124" s="9" t="n">
        <f aca="false">SUM(B115:B123)</f>
        <v>129</v>
      </c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9" t="n">
        <f aca="false">SUM(Q115:Q123)</f>
        <v>27954</v>
      </c>
      <c r="R124" s="9" t="n">
        <f aca="false">SUM(R115:R123)</f>
        <v>2932</v>
      </c>
      <c r="S124" s="9" t="n">
        <f aca="false">SUM(S115:S123)</f>
        <v>220</v>
      </c>
      <c r="T124" s="9" t="n">
        <f aca="false">SUM(T115:T123)</f>
        <v>5850</v>
      </c>
      <c r="U124" s="9" t="n">
        <f aca="false">SUM(U115:U123)</f>
        <v>3350</v>
      </c>
      <c r="V124" s="9" t="n">
        <f aca="false">SUM(V115:V123)</f>
        <v>220</v>
      </c>
      <c r="W124" s="9" t="n">
        <f aca="false">SUM(W115:W123)</f>
        <v>470</v>
      </c>
      <c r="X124" s="9" t="n">
        <f aca="false">SUM(X115:X123)</f>
        <v>1400</v>
      </c>
      <c r="Y124" s="9" t="n">
        <f aca="false">SUM(Y115:Y123)</f>
        <v>100</v>
      </c>
      <c r="Z124" s="9" t="n">
        <f aca="false">SUM(Z115:Z123)</f>
        <v>1480</v>
      </c>
      <c r="AA124" s="9" t="n">
        <f aca="false">SUM(AA115:AA123)</f>
        <v>2220</v>
      </c>
      <c r="AB124" s="9" t="n">
        <f aca="false">SUM(AB115:AB123)</f>
        <v>0</v>
      </c>
      <c r="AC124" s="9" t="n">
        <f aca="false">SUM(AC115:AC123)</f>
        <v>0</v>
      </c>
      <c r="AD124" s="9" t="n">
        <f aca="false">SUM(AD115:AD123)</f>
        <v>0</v>
      </c>
    </row>
    <row r="125" customFormat="false" ht="15" hidden="false" customHeight="false" outlineLevel="0" collapsed="false">
      <c r="A125" s="8" t="s">
        <v>36</v>
      </c>
      <c r="B125" s="9" t="n">
        <f aca="false">SUM(B115:B123)-SUMIF(A115:A123,"* (inventaire)",B115:B123)</f>
        <v>129</v>
      </c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9" t="n">
        <f aca="false">SUM(Q115:Q123)-SUMIF(A115:A123,"* (inventaire)",Q115:Q123)</f>
        <v>27954</v>
      </c>
      <c r="R125" s="9" t="n">
        <f aca="false">SUM(R115:R123)-SUMIF(A115:A123,"* (inventaire)",R115:R123)</f>
        <v>2932</v>
      </c>
      <c r="S125" s="9" t="n">
        <f aca="false">SUM(S115:S123)-SUMIF(A115:A123,"* (inventaire)",S115:S123)</f>
        <v>220</v>
      </c>
      <c r="T125" s="9" t="n">
        <f aca="false">SUM(T115:T123)-SUMIF(A115:A123,"* (inventaire)",T115:T123)</f>
        <v>5850</v>
      </c>
      <c r="U125" s="9" t="n">
        <f aca="false">SUM(U115:U123)-SUMIF(A115:A123,"* (inventaire)",U115:U123)</f>
        <v>3350</v>
      </c>
      <c r="V125" s="9" t="n">
        <f aca="false">SUM(V115:V123)-SUMIF(A115:A123,"* (inventaire)",V115:V123)</f>
        <v>220</v>
      </c>
      <c r="W125" s="9" t="n">
        <f aca="false">SUM(W115:W123)-SUMIF(A115:A123,"* (inventaire)",W115:W123)</f>
        <v>470</v>
      </c>
      <c r="X125" s="9" t="n">
        <f aca="false">SUM(X115:X123)-SUMIF(A115:A123,"* (inventaire)",X115:X123)</f>
        <v>1400</v>
      </c>
      <c r="Y125" s="9" t="n">
        <f aca="false">SUM(Y115:Y123)-SUMIF(A115:A123,"* (inventaire)",Y115:Y123)</f>
        <v>100</v>
      </c>
      <c r="Z125" s="9" t="n">
        <f aca="false">SUM(Z115:Z123)-SUMIF(A115:A123,"* (inventaire)",Z115:Z123)</f>
        <v>1480</v>
      </c>
      <c r="AA125" s="9" t="n">
        <f aca="false">SUM(AA115:AA123)-SUMIF(A115:A123,"* (inventaire)",AA115:AA123)</f>
        <v>2220</v>
      </c>
      <c r="AB125" s="9" t="n">
        <f aca="false">SUM(AB115:AB123)-SUMIF(A115:A123,"* (inventaire)",AB115:AB123)</f>
        <v>0</v>
      </c>
      <c r="AC125" s="9" t="n">
        <f aca="false">SUM(AC115:AC123)-SUMIF(A115:A123,"* (inventaire)",AC115:AC123)</f>
        <v>0</v>
      </c>
      <c r="AD125" s="9" t="n">
        <f aca="false">SUM(AD115:AD123)-SUMIF(A115:A123,"* (inventaire)",AD115:AD123)</f>
        <v>0</v>
      </c>
    </row>
    <row r="126" customFormat="false" ht="15" hidden="false" customHeight="fals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5" hidden="false" customHeight="fals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6.15" hidden="false" customHeight="false" outlineLevel="0" collapsed="false">
      <c r="A128" s="18" t="s">
        <v>148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42" hidden="false" customHeight="true" outlineLevel="0" collapsed="false">
      <c r="A129" s="11" t="s">
        <v>149</v>
      </c>
      <c r="B129" s="11" t="s">
        <v>150</v>
      </c>
      <c r="C129" s="11" t="s">
        <v>4</v>
      </c>
      <c r="D129" s="11" t="s">
        <v>151</v>
      </c>
      <c r="E129" s="11" t="s">
        <v>22</v>
      </c>
      <c r="F129" s="11" t="s">
        <v>23</v>
      </c>
      <c r="G129" s="11" t="s">
        <v>24</v>
      </c>
      <c r="H129" s="11" t="s">
        <v>25</v>
      </c>
      <c r="I129" s="11" t="s">
        <v>26</v>
      </c>
      <c r="J129" s="11" t="s">
        <v>27</v>
      </c>
      <c r="K129" s="11" t="s">
        <v>28</v>
      </c>
      <c r="L129" s="11" t="s">
        <v>29</v>
      </c>
      <c r="M129" s="11" t="s">
        <v>30</v>
      </c>
      <c r="N129" s="11" t="s">
        <v>31</v>
      </c>
      <c r="O129" s="11" t="s">
        <v>32</v>
      </c>
      <c r="P129" s="11" t="s">
        <v>33</v>
      </c>
      <c r="Q129" s="11" t="s">
        <v>34</v>
      </c>
      <c r="R129" s="11" t="s">
        <v>35</v>
      </c>
      <c r="S129" s="11" t="s">
        <v>152</v>
      </c>
      <c r="T129" s="11" t="s">
        <v>153</v>
      </c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5" hidden="false" customHeight="false" outlineLevel="0" collapsed="false">
      <c r="A130" s="6" t="s">
        <v>65</v>
      </c>
      <c r="B130" s="19" t="n">
        <v>1030</v>
      </c>
      <c r="C130" s="19" t="n">
        <f aca="false">B8</f>
        <v>1028</v>
      </c>
      <c r="D130" s="19" t="n">
        <f aca="false">B8-B9</f>
        <v>0</v>
      </c>
      <c r="E130" s="19" t="n">
        <f aca="false">Q8</f>
        <v>34300</v>
      </c>
      <c r="F130" s="19" t="n">
        <f aca="false">R8</f>
        <v>10632</v>
      </c>
      <c r="G130" s="19" t="n">
        <f aca="false">S8</f>
        <v>0</v>
      </c>
      <c r="H130" s="19" t="n">
        <f aca="false">T8</f>
        <v>0</v>
      </c>
      <c r="I130" s="19" t="n">
        <f aca="false">U8</f>
        <v>0</v>
      </c>
      <c r="J130" s="19" t="n">
        <f aca="false">V8</f>
        <v>0</v>
      </c>
      <c r="K130" s="19" t="n">
        <f aca="false">W8</f>
        <v>0</v>
      </c>
      <c r="L130" s="19" t="n">
        <f aca="false">X8</f>
        <v>0</v>
      </c>
      <c r="M130" s="19" t="n">
        <f aca="false">Y8</f>
        <v>0</v>
      </c>
      <c r="N130" s="19" t="n">
        <f aca="false">Z8</f>
        <v>0</v>
      </c>
      <c r="O130" s="19" t="n">
        <f aca="false">AA8</f>
        <v>0</v>
      </c>
      <c r="P130" s="19" t="n">
        <f aca="false">AB8</f>
        <v>0</v>
      </c>
      <c r="Q130" s="19" t="n">
        <f aca="false">AC8</f>
        <v>0</v>
      </c>
      <c r="R130" s="19" t="n">
        <f aca="false">AD8</f>
        <v>0</v>
      </c>
      <c r="S130" s="19" t="n">
        <f aca="false">Q9</f>
        <v>34300</v>
      </c>
      <c r="T130" s="19" t="n">
        <f aca="false">R9</f>
        <v>10632</v>
      </c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5" hidden="false" customHeight="false" outlineLevel="0" collapsed="false">
      <c r="A131" s="20" t="s">
        <v>100</v>
      </c>
      <c r="B131" s="19" t="n">
        <v>227</v>
      </c>
      <c r="C131" s="19" t="n">
        <f aca="false">B14</f>
        <v>226</v>
      </c>
      <c r="D131" s="19" t="n">
        <f aca="false">B14-B15</f>
        <v>0</v>
      </c>
      <c r="E131" s="19" t="n">
        <f aca="false">Q14</f>
        <v>5650</v>
      </c>
      <c r="F131" s="19" t="n">
        <f aca="false">R14</f>
        <v>1582</v>
      </c>
      <c r="G131" s="19" t="n">
        <f aca="false">S14</f>
        <v>0</v>
      </c>
      <c r="H131" s="19" t="n">
        <f aca="false">T14</f>
        <v>0</v>
      </c>
      <c r="I131" s="19" t="n">
        <f aca="false">U14</f>
        <v>0</v>
      </c>
      <c r="J131" s="19" t="n">
        <f aca="false">V14</f>
        <v>0</v>
      </c>
      <c r="K131" s="19" t="n">
        <f aca="false">W14</f>
        <v>0</v>
      </c>
      <c r="L131" s="19" t="n">
        <f aca="false">X14</f>
        <v>0</v>
      </c>
      <c r="M131" s="19" t="n">
        <f aca="false">Y14</f>
        <v>0</v>
      </c>
      <c r="N131" s="19" t="n">
        <f aca="false">Z14</f>
        <v>0</v>
      </c>
      <c r="O131" s="19" t="n">
        <f aca="false">AA14</f>
        <v>0</v>
      </c>
      <c r="P131" s="19" t="n">
        <f aca="false">AB14</f>
        <v>0</v>
      </c>
      <c r="Q131" s="19" t="n">
        <f aca="false">AC14</f>
        <v>0</v>
      </c>
      <c r="R131" s="19" t="n">
        <f aca="false">AD14</f>
        <v>0</v>
      </c>
      <c r="S131" s="19" t="n">
        <f aca="false">Q15</f>
        <v>5650</v>
      </c>
      <c r="T131" s="19" t="n">
        <f aca="false">R15</f>
        <v>1582</v>
      </c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5" hidden="false" customHeight="false" outlineLevel="0" collapsed="false">
      <c r="A132" s="6" t="s">
        <v>103</v>
      </c>
      <c r="B132" s="19" t="n">
        <v>660</v>
      </c>
      <c r="C132" s="19" t="n">
        <f aca="false">B24</f>
        <v>659</v>
      </c>
      <c r="D132" s="19" t="n">
        <f aca="false">B24-B25</f>
        <v>0</v>
      </c>
      <c r="E132" s="19" t="n">
        <f aca="false">Q24</f>
        <v>10144</v>
      </c>
      <c r="F132" s="19" t="n">
        <f aca="false">R24</f>
        <v>2792</v>
      </c>
      <c r="G132" s="19" t="n">
        <f aca="false">S24</f>
        <v>0</v>
      </c>
      <c r="H132" s="19" t="n">
        <f aca="false">T24</f>
        <v>0</v>
      </c>
      <c r="I132" s="19" t="n">
        <f aca="false">U24</f>
        <v>0</v>
      </c>
      <c r="J132" s="19" t="n">
        <f aca="false">V24</f>
        <v>0</v>
      </c>
      <c r="K132" s="19" t="n">
        <f aca="false">W24</f>
        <v>0</v>
      </c>
      <c r="L132" s="19" t="n">
        <f aca="false">X24</f>
        <v>0</v>
      </c>
      <c r="M132" s="19" t="n">
        <f aca="false">Y24</f>
        <v>0</v>
      </c>
      <c r="N132" s="19" t="n">
        <f aca="false">Z24</f>
        <v>0</v>
      </c>
      <c r="O132" s="19" t="n">
        <f aca="false">AA24</f>
        <v>108</v>
      </c>
      <c r="P132" s="19" t="n">
        <f aca="false">AB24</f>
        <v>189</v>
      </c>
      <c r="Q132" s="19" t="n">
        <f aca="false">AC24</f>
        <v>108</v>
      </c>
      <c r="R132" s="19" t="n">
        <f aca="false">AD24</f>
        <v>0</v>
      </c>
      <c r="S132" s="19" t="n">
        <f aca="false">Q25</f>
        <v>10144</v>
      </c>
      <c r="T132" s="19" t="n">
        <f aca="false">R25</f>
        <v>2792</v>
      </c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5" hidden="false" customHeight="false" outlineLevel="0" collapsed="false">
      <c r="A133" s="6" t="s">
        <v>110</v>
      </c>
      <c r="B133" s="19" t="n">
        <v>808</v>
      </c>
      <c r="C133" s="19" t="n">
        <f aca="false">B33</f>
        <v>807</v>
      </c>
      <c r="D133" s="19" t="n">
        <f aca="false">B33-B34</f>
        <v>0</v>
      </c>
      <c r="E133" s="19" t="n">
        <f aca="false">Q33</f>
        <v>10640</v>
      </c>
      <c r="F133" s="19" t="n">
        <f aca="false">R33</f>
        <v>3107</v>
      </c>
      <c r="G133" s="19" t="n">
        <f aca="false">S33</f>
        <v>0</v>
      </c>
      <c r="H133" s="19" t="n">
        <f aca="false">T33</f>
        <v>0</v>
      </c>
      <c r="I133" s="19" t="n">
        <f aca="false">U33</f>
        <v>0</v>
      </c>
      <c r="J133" s="19" t="n">
        <f aca="false">V33</f>
        <v>0</v>
      </c>
      <c r="K133" s="19" t="n">
        <f aca="false">W33</f>
        <v>0</v>
      </c>
      <c r="L133" s="19" t="n">
        <f aca="false">X33</f>
        <v>0</v>
      </c>
      <c r="M133" s="19" t="n">
        <f aca="false">Y33</f>
        <v>0</v>
      </c>
      <c r="N133" s="19" t="n">
        <f aca="false">Z33</f>
        <v>0</v>
      </c>
      <c r="O133" s="19" t="n">
        <f aca="false">AA33</f>
        <v>12</v>
      </c>
      <c r="P133" s="19" t="n">
        <f aca="false">AB33</f>
        <v>21</v>
      </c>
      <c r="Q133" s="19" t="n">
        <f aca="false">AC33</f>
        <v>12</v>
      </c>
      <c r="R133" s="19" t="n">
        <f aca="false">AD33</f>
        <v>0</v>
      </c>
      <c r="S133" s="19" t="n">
        <f aca="false">Q34</f>
        <v>10640</v>
      </c>
      <c r="T133" s="19" t="n">
        <f aca="false">R34</f>
        <v>3107</v>
      </c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5" hidden="false" customHeight="false" outlineLevel="0" collapsed="false">
      <c r="A134" s="6" t="s">
        <v>112</v>
      </c>
      <c r="B134" s="19" t="n">
        <v>982</v>
      </c>
      <c r="C134" s="19" t="n">
        <f aca="false">B45</f>
        <v>981</v>
      </c>
      <c r="D134" s="19" t="n">
        <f aca="false">B45-B46</f>
        <v>0</v>
      </c>
      <c r="E134" s="19" t="n">
        <f aca="false">Q45</f>
        <v>23975</v>
      </c>
      <c r="F134" s="19" t="n">
        <f aca="false">R45</f>
        <v>6730</v>
      </c>
      <c r="G134" s="19" t="n">
        <f aca="false">S45</f>
        <v>0</v>
      </c>
      <c r="H134" s="19" t="n">
        <f aca="false">T45</f>
        <v>0</v>
      </c>
      <c r="I134" s="19" t="n">
        <f aca="false">U45</f>
        <v>0</v>
      </c>
      <c r="J134" s="19" t="n">
        <f aca="false">V45</f>
        <v>0</v>
      </c>
      <c r="K134" s="19" t="n">
        <f aca="false">W45</f>
        <v>0</v>
      </c>
      <c r="L134" s="19" t="n">
        <f aca="false">X45</f>
        <v>0</v>
      </c>
      <c r="M134" s="19" t="n">
        <f aca="false">Y45</f>
        <v>0</v>
      </c>
      <c r="N134" s="19" t="n">
        <f aca="false">Z45</f>
        <v>0</v>
      </c>
      <c r="O134" s="19" t="n">
        <f aca="false">AA45</f>
        <v>64</v>
      </c>
      <c r="P134" s="19" t="n">
        <f aca="false">AB45</f>
        <v>112</v>
      </c>
      <c r="Q134" s="19" t="n">
        <f aca="false">AC45</f>
        <v>64</v>
      </c>
      <c r="R134" s="19" t="n">
        <f aca="false">AD45</f>
        <v>0</v>
      </c>
      <c r="S134" s="19" t="n">
        <f aca="false">Q46</f>
        <v>23975</v>
      </c>
      <c r="T134" s="19" t="n">
        <f aca="false">R46</f>
        <v>6730</v>
      </c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5" hidden="false" customHeight="false" outlineLevel="0" collapsed="false">
      <c r="A135" s="6" t="s">
        <v>118</v>
      </c>
      <c r="B135" s="19" t="n">
        <v>1046</v>
      </c>
      <c r="C135" s="19" t="n">
        <f aca="false">B57</f>
        <v>1045</v>
      </c>
      <c r="D135" s="19" t="n">
        <f aca="false">B57-B58</f>
        <v>0</v>
      </c>
      <c r="E135" s="19" t="n">
        <f aca="false">Q57</f>
        <v>22649</v>
      </c>
      <c r="F135" s="19" t="n">
        <f aca="false">R57</f>
        <v>6338</v>
      </c>
      <c r="G135" s="19" t="n">
        <f aca="false">S57</f>
        <v>0</v>
      </c>
      <c r="H135" s="19" t="n">
        <f aca="false">T57</f>
        <v>0</v>
      </c>
      <c r="I135" s="19" t="n">
        <f aca="false">U57</f>
        <v>0</v>
      </c>
      <c r="J135" s="19" t="n">
        <f aca="false">V57</f>
        <v>0</v>
      </c>
      <c r="K135" s="19" t="n">
        <f aca="false">W57</f>
        <v>0</v>
      </c>
      <c r="L135" s="19" t="n">
        <f aca="false">X57</f>
        <v>0</v>
      </c>
      <c r="M135" s="19" t="n">
        <f aca="false">Y57</f>
        <v>0</v>
      </c>
      <c r="N135" s="19" t="n">
        <f aca="false">Z57</f>
        <v>0</v>
      </c>
      <c r="O135" s="19" t="n">
        <f aca="false">AA57</f>
        <v>132</v>
      </c>
      <c r="P135" s="19" t="n">
        <f aca="false">AB57</f>
        <v>231</v>
      </c>
      <c r="Q135" s="19" t="n">
        <f aca="false">AC57</f>
        <v>132</v>
      </c>
      <c r="R135" s="19" t="n">
        <f aca="false">AD57</f>
        <v>0</v>
      </c>
      <c r="S135" s="19" t="n">
        <f aca="false">Q58</f>
        <v>22649</v>
      </c>
      <c r="T135" s="19" t="n">
        <f aca="false">R58</f>
        <v>6338</v>
      </c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5" hidden="false" customHeight="false" outlineLevel="0" collapsed="false">
      <c r="A136" s="6" t="s">
        <v>121</v>
      </c>
      <c r="B136" s="19" t="n">
        <v>71</v>
      </c>
      <c r="C136" s="19" t="n">
        <f aca="false">B66</f>
        <v>70</v>
      </c>
      <c r="D136" s="19" t="n">
        <f aca="false">B66-B67</f>
        <v>65</v>
      </c>
      <c r="E136" s="19" t="n">
        <f aca="false">Q66</f>
        <v>26940</v>
      </c>
      <c r="F136" s="19" t="n">
        <f aca="false">R66</f>
        <v>9100</v>
      </c>
      <c r="G136" s="19" t="n">
        <f aca="false">S66</f>
        <v>13470</v>
      </c>
      <c r="H136" s="19" t="n">
        <f aca="false">T66</f>
        <v>5570</v>
      </c>
      <c r="I136" s="19" t="n">
        <f aca="false">U66</f>
        <v>1200</v>
      </c>
      <c r="J136" s="19" t="n">
        <f aca="false">V66</f>
        <v>54</v>
      </c>
      <c r="K136" s="19" t="n">
        <f aca="false">W66</f>
        <v>0</v>
      </c>
      <c r="L136" s="19" t="n">
        <f aca="false">X66</f>
        <v>0</v>
      </c>
      <c r="M136" s="19" t="n">
        <f aca="false">Y66</f>
        <v>0</v>
      </c>
      <c r="N136" s="19" t="n">
        <f aca="false">Z66</f>
        <v>0</v>
      </c>
      <c r="O136" s="19" t="n">
        <f aca="false">AA66</f>
        <v>200</v>
      </c>
      <c r="P136" s="19" t="n">
        <f aca="false">AB66</f>
        <v>250</v>
      </c>
      <c r="Q136" s="19" t="n">
        <f aca="false">AC66</f>
        <v>200</v>
      </c>
      <c r="R136" s="19" t="n">
        <f aca="false">AD66</f>
        <v>500</v>
      </c>
      <c r="S136" s="19" t="n">
        <f aca="false">Q67</f>
        <v>0</v>
      </c>
      <c r="T136" s="19" t="n">
        <f aca="false">R67</f>
        <v>0</v>
      </c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5" hidden="false" customHeight="false" outlineLevel="0" collapsed="false">
      <c r="A137" s="6" t="s">
        <v>127</v>
      </c>
      <c r="B137" s="19" t="n">
        <v>21</v>
      </c>
      <c r="C137" s="19" t="n">
        <f aca="false">B75</f>
        <v>20</v>
      </c>
      <c r="D137" s="19" t="n">
        <f aca="false">B75-B76</f>
        <v>14</v>
      </c>
      <c r="E137" s="19" t="n">
        <f aca="false">Q75</f>
        <v>4840</v>
      </c>
      <c r="F137" s="19" t="n">
        <f aca="false">R75</f>
        <v>1500</v>
      </c>
      <c r="G137" s="19" t="n">
        <f aca="false">S75</f>
        <v>2420</v>
      </c>
      <c r="H137" s="19" t="n">
        <f aca="false">T75</f>
        <v>1320</v>
      </c>
      <c r="I137" s="19" t="n">
        <f aca="false">U75</f>
        <v>400</v>
      </c>
      <c r="J137" s="19" t="n">
        <f aca="false">V75</f>
        <v>18</v>
      </c>
      <c r="K137" s="19" t="n">
        <f aca="false">W75</f>
        <v>0</v>
      </c>
      <c r="L137" s="19" t="n">
        <f aca="false">X75</f>
        <v>0</v>
      </c>
      <c r="M137" s="19" t="n">
        <f aca="false">Y75</f>
        <v>0</v>
      </c>
      <c r="N137" s="19" t="n">
        <f aca="false">Z75</f>
        <v>0</v>
      </c>
      <c r="O137" s="19" t="n">
        <f aca="false">AA75</f>
        <v>180</v>
      </c>
      <c r="P137" s="19" t="n">
        <f aca="false">AB75</f>
        <v>120</v>
      </c>
      <c r="Q137" s="19" t="n">
        <f aca="false">AC75</f>
        <v>0</v>
      </c>
      <c r="R137" s="19" t="n">
        <f aca="false">AD75</f>
        <v>300</v>
      </c>
      <c r="S137" s="19" t="n">
        <f aca="false">Q76</f>
        <v>0</v>
      </c>
      <c r="T137" s="19" t="n">
        <f aca="false">R76</f>
        <v>0</v>
      </c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5" hidden="false" customHeight="false" outlineLevel="0" collapsed="false">
      <c r="A138" s="6" t="s">
        <v>130</v>
      </c>
      <c r="B138" s="19" t="n">
        <v>335</v>
      </c>
      <c r="C138" s="19" t="n">
        <f aca="false">B85</f>
        <v>335</v>
      </c>
      <c r="D138" s="19" t="n">
        <f aca="false">B85-B86</f>
        <v>0</v>
      </c>
      <c r="E138" s="19" t="n">
        <f aca="false">Q85</f>
        <v>8027</v>
      </c>
      <c r="F138" s="19" t="n">
        <f aca="false">R85</f>
        <v>2258</v>
      </c>
      <c r="G138" s="19" t="n">
        <f aca="false">S85</f>
        <v>0</v>
      </c>
      <c r="H138" s="19" t="n">
        <f aca="false">T85</f>
        <v>0</v>
      </c>
      <c r="I138" s="19" t="n">
        <f aca="false">U85</f>
        <v>0</v>
      </c>
      <c r="J138" s="19" t="n">
        <f aca="false">V85</f>
        <v>0</v>
      </c>
      <c r="K138" s="19" t="n">
        <f aca="false">W85</f>
        <v>0</v>
      </c>
      <c r="L138" s="19" t="n">
        <f aca="false">X85</f>
        <v>0</v>
      </c>
      <c r="M138" s="19" t="n">
        <f aca="false">Y85</f>
        <v>0</v>
      </c>
      <c r="N138" s="19" t="n">
        <f aca="false">Z85</f>
        <v>0</v>
      </c>
      <c r="O138" s="19" t="n">
        <f aca="false">AA85</f>
        <v>0</v>
      </c>
      <c r="P138" s="19" t="n">
        <f aca="false">AB85</f>
        <v>0</v>
      </c>
      <c r="Q138" s="19" t="n">
        <f aca="false">AC85</f>
        <v>0</v>
      </c>
      <c r="R138" s="19" t="n">
        <f aca="false">AD85</f>
        <v>0</v>
      </c>
      <c r="S138" s="19" t="n">
        <f aca="false">Q86</f>
        <v>8027</v>
      </c>
      <c r="T138" s="19" t="n">
        <f aca="false">R86</f>
        <v>2258</v>
      </c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5" hidden="false" customHeight="false" outlineLevel="0" collapsed="false">
      <c r="A139" s="6" t="s">
        <v>132</v>
      </c>
      <c r="B139" s="19" t="n">
        <v>467</v>
      </c>
      <c r="C139" s="19" t="n">
        <f aca="false">B93</f>
        <v>467</v>
      </c>
      <c r="D139" s="19" t="n">
        <f aca="false">B93-B94</f>
        <v>0</v>
      </c>
      <c r="E139" s="19" t="n">
        <f aca="false">Q93</f>
        <v>5905</v>
      </c>
      <c r="F139" s="19" t="n">
        <f aca="false">R93</f>
        <v>1693</v>
      </c>
      <c r="G139" s="19" t="n">
        <f aca="false">S93</f>
        <v>0</v>
      </c>
      <c r="H139" s="19" t="n">
        <f aca="false">T93</f>
        <v>0</v>
      </c>
      <c r="I139" s="19" t="n">
        <f aca="false">U93</f>
        <v>0</v>
      </c>
      <c r="J139" s="19" t="n">
        <f aca="false">V93</f>
        <v>0</v>
      </c>
      <c r="K139" s="19" t="n">
        <f aca="false">W93</f>
        <v>0</v>
      </c>
      <c r="L139" s="19" t="n">
        <f aca="false">X93</f>
        <v>0</v>
      </c>
      <c r="M139" s="19" t="n">
        <f aca="false">Y93</f>
        <v>0</v>
      </c>
      <c r="N139" s="19" t="n">
        <f aca="false">Z93</f>
        <v>0</v>
      </c>
      <c r="O139" s="19" t="n">
        <f aca="false">AA93</f>
        <v>0</v>
      </c>
      <c r="P139" s="19" t="n">
        <f aca="false">AB93</f>
        <v>0</v>
      </c>
      <c r="Q139" s="19" t="n">
        <f aca="false">AC93</f>
        <v>0</v>
      </c>
      <c r="R139" s="19" t="n">
        <f aca="false">AD93</f>
        <v>0</v>
      </c>
      <c r="S139" s="19" t="n">
        <f aca="false">Q94</f>
        <v>5905</v>
      </c>
      <c r="T139" s="19" t="n">
        <f aca="false">R94</f>
        <v>1693</v>
      </c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5" hidden="false" customHeight="false" outlineLevel="0" collapsed="false">
      <c r="A140" s="6" t="s">
        <v>134</v>
      </c>
      <c r="B140" s="19" t="n">
        <v>11</v>
      </c>
      <c r="C140" s="19" t="n">
        <f aca="false">B103</f>
        <v>11</v>
      </c>
      <c r="D140" s="19" t="n">
        <f aca="false">B103-B104</f>
        <v>6</v>
      </c>
      <c r="E140" s="19" t="n">
        <f aca="false">Q103</f>
        <v>2305</v>
      </c>
      <c r="F140" s="19" t="n">
        <f aca="false">R103</f>
        <v>507</v>
      </c>
      <c r="G140" s="19" t="n">
        <f aca="false">S103</f>
        <v>940</v>
      </c>
      <c r="H140" s="19" t="n">
        <f aca="false">T103</f>
        <v>840</v>
      </c>
      <c r="I140" s="19" t="n">
        <f aca="false">U103</f>
        <v>400</v>
      </c>
      <c r="J140" s="19" t="n">
        <f aca="false">V103</f>
        <v>6</v>
      </c>
      <c r="K140" s="19" t="n">
        <f aca="false">W103</f>
        <v>0</v>
      </c>
      <c r="L140" s="19" t="n">
        <f aca="false">X103</f>
        <v>0</v>
      </c>
      <c r="M140" s="19" t="n">
        <f aca="false">Y103</f>
        <v>0</v>
      </c>
      <c r="N140" s="19" t="n">
        <f aca="false">Z103</f>
        <v>0</v>
      </c>
      <c r="O140" s="19" t="n">
        <f aca="false">AA103</f>
        <v>160</v>
      </c>
      <c r="P140" s="19" t="n">
        <f aca="false">AB103</f>
        <v>200</v>
      </c>
      <c r="Q140" s="19" t="n">
        <f aca="false">AC103</f>
        <v>160</v>
      </c>
      <c r="R140" s="19" t="n">
        <f aca="false">AD103</f>
        <v>400</v>
      </c>
      <c r="S140" s="19" t="n">
        <f aca="false">Q104</f>
        <v>25</v>
      </c>
      <c r="T140" s="19" t="n">
        <f aca="false">R104</f>
        <v>7</v>
      </c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5" hidden="false" customHeight="false" outlineLevel="0" collapsed="false">
      <c r="A141" s="20" t="s">
        <v>136</v>
      </c>
      <c r="B141" s="19" t="n">
        <v>76</v>
      </c>
      <c r="C141" s="19" t="n">
        <f aca="false">B110</f>
        <v>76</v>
      </c>
      <c r="D141" s="19" t="n">
        <f aca="false">B110-B111</f>
        <v>0</v>
      </c>
      <c r="E141" s="19" t="n">
        <f aca="false">Q110</f>
        <v>1900</v>
      </c>
      <c r="F141" s="19" t="n">
        <f aca="false">R110</f>
        <v>532</v>
      </c>
      <c r="G141" s="19" t="n">
        <f aca="false">S110</f>
        <v>0</v>
      </c>
      <c r="H141" s="19" t="n">
        <f aca="false">T110</f>
        <v>0</v>
      </c>
      <c r="I141" s="19" t="n">
        <f aca="false">U110</f>
        <v>0</v>
      </c>
      <c r="J141" s="19" t="n">
        <f aca="false">V110</f>
        <v>0</v>
      </c>
      <c r="K141" s="19" t="n">
        <f aca="false">W110</f>
        <v>0</v>
      </c>
      <c r="L141" s="19" t="n">
        <f aca="false">X110</f>
        <v>0</v>
      </c>
      <c r="M141" s="19" t="n">
        <f aca="false">Y110</f>
        <v>0</v>
      </c>
      <c r="N141" s="19" t="n">
        <f aca="false">Z110</f>
        <v>0</v>
      </c>
      <c r="O141" s="19" t="n">
        <f aca="false">AA110</f>
        <v>0</v>
      </c>
      <c r="P141" s="19" t="n">
        <f aca="false">AB110</f>
        <v>0</v>
      </c>
      <c r="Q141" s="19" t="n">
        <f aca="false">AC110</f>
        <v>0</v>
      </c>
      <c r="R141" s="19" t="n">
        <f aca="false">AD110</f>
        <v>0</v>
      </c>
      <c r="S141" s="19" t="n">
        <f aca="false">Q111</f>
        <v>1900</v>
      </c>
      <c r="T141" s="19" t="n">
        <f aca="false">R111</f>
        <v>532</v>
      </c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5" hidden="false" customHeight="false" outlineLevel="0" collapsed="false">
      <c r="A142" s="20" t="s">
        <v>138</v>
      </c>
      <c r="B142" s="21"/>
      <c r="C142" s="19" t="n">
        <f aca="false">B124</f>
        <v>129</v>
      </c>
      <c r="D142" s="19" t="n">
        <f aca="false">B124-B125</f>
        <v>0</v>
      </c>
      <c r="E142" s="19" t="n">
        <f aca="false">Q124</f>
        <v>27954</v>
      </c>
      <c r="F142" s="19" t="n">
        <f aca="false">R124</f>
        <v>2932</v>
      </c>
      <c r="G142" s="19" t="n">
        <f aca="false">S124</f>
        <v>220</v>
      </c>
      <c r="H142" s="19" t="n">
        <f aca="false">T124</f>
        <v>5850</v>
      </c>
      <c r="I142" s="19" t="n">
        <f aca="false">U124</f>
        <v>3350</v>
      </c>
      <c r="J142" s="19" t="n">
        <f aca="false">V124</f>
        <v>220</v>
      </c>
      <c r="K142" s="19" t="n">
        <f aca="false">W124</f>
        <v>470</v>
      </c>
      <c r="L142" s="19" t="n">
        <f aca="false">X124</f>
        <v>1400</v>
      </c>
      <c r="M142" s="19" t="n">
        <f aca="false">Y124</f>
        <v>100</v>
      </c>
      <c r="N142" s="19" t="n">
        <f aca="false">Z124</f>
        <v>1480</v>
      </c>
      <c r="O142" s="19" t="n">
        <f aca="false">AA124</f>
        <v>2220</v>
      </c>
      <c r="P142" s="19" t="n">
        <f aca="false">AB124</f>
        <v>0</v>
      </c>
      <c r="Q142" s="19" t="n">
        <f aca="false">AC124</f>
        <v>0</v>
      </c>
      <c r="R142" s="19" t="n">
        <f aca="false">AD124</f>
        <v>0</v>
      </c>
      <c r="S142" s="19" t="n">
        <f aca="false">Q125</f>
        <v>27954</v>
      </c>
      <c r="T142" s="19" t="n">
        <f aca="false">R125</f>
        <v>2932</v>
      </c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5" hidden="false" customHeight="false" outlineLevel="0" collapsed="false">
      <c r="A143" s="8" t="s">
        <v>154</v>
      </c>
      <c r="B143" s="9" t="n">
        <f aca="false">B130+B132+B133+B134+B135+B136+B137+B138+B139+B140</f>
        <v>5431</v>
      </c>
      <c r="C143" s="9" t="n">
        <f aca="false">C130+C132+C133+C134+C135+C136+C137+C138+C139+C140</f>
        <v>5423</v>
      </c>
      <c r="D143" s="9" t="n">
        <f aca="false">D130+D132+D133+D134+D135+D136+D137+D138+D139+D140</f>
        <v>85</v>
      </c>
      <c r="E143" s="9" t="n">
        <f aca="false">E130+E132+E133+E134+E135+E136+E137+E138+E139+E140</f>
        <v>149725</v>
      </c>
      <c r="F143" s="9" t="n">
        <f aca="false">F130+F132+F133+F134+F135+F136+F137+F138+F139+F140</f>
        <v>44657</v>
      </c>
      <c r="G143" s="9" t="n">
        <f aca="false">G130+G132+G133+G134+G135+G136+G137+G138+G139+G140</f>
        <v>16830</v>
      </c>
      <c r="H143" s="9" t="n">
        <f aca="false">H130+H132+H133+H134+H135+H136+H137+H138+H139+H140</f>
        <v>7730</v>
      </c>
      <c r="I143" s="9" t="n">
        <f aca="false">I130+I132+I133+I134+I135+I136+I137+I138+I139+I140</f>
        <v>2000</v>
      </c>
      <c r="J143" s="9" t="n">
        <f aca="false">J130+J132+J133+J134+J135+J136+J137+J138+J139+J140</f>
        <v>78</v>
      </c>
      <c r="K143" s="9" t="n">
        <f aca="false">K130+K132+K133+K134+K135+K136+K137+K138+K139+K140</f>
        <v>0</v>
      </c>
      <c r="L143" s="9" t="n">
        <f aca="false">L130+L132+L133+L134+L135+L136+L137+L138+L139+L140</f>
        <v>0</v>
      </c>
      <c r="M143" s="9" t="n">
        <f aca="false">M130+M132+M133+M134+M135+M136+M137+M138+M139+M140</f>
        <v>0</v>
      </c>
      <c r="N143" s="9" t="n">
        <f aca="false">N130+N132+N133+N134+N135+N136+N137+N138+N139+N140</f>
        <v>0</v>
      </c>
      <c r="O143" s="9" t="n">
        <f aca="false">O130+O132+O133+O134+O135+O136+O137+O138+O139+O140</f>
        <v>856</v>
      </c>
      <c r="P143" s="9" t="n">
        <f aca="false">P130+P132+P133+P134+P135+P136+P137+P138+P139+P140</f>
        <v>1123</v>
      </c>
      <c r="Q143" s="9" t="n">
        <f aca="false">Q130+Q132+Q133+Q134+Q135+Q136+Q137+Q138+Q139+Q140</f>
        <v>676</v>
      </c>
      <c r="R143" s="9" t="n">
        <f aca="false">R130+R132+R133+R134+R135+R136+R137+R138+R139+R140</f>
        <v>1200</v>
      </c>
      <c r="S143" s="9" t="n">
        <f aca="false">S130+S132+S133+S134+S135+S136+S137+S138+S139+S140</f>
        <v>115665</v>
      </c>
      <c r="T143" s="9" t="n">
        <f aca="false">T130+T132+T133+T134+T135+T136+T137+T138+T139+T140</f>
        <v>33557</v>
      </c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5" hidden="false" customHeight="false" outlineLevel="0" collapsed="false">
      <c r="A144" s="8" t="s">
        <v>155</v>
      </c>
      <c r="B144" s="9" t="n">
        <f aca="false">B130+B132+B133+B134+B135+B136+B137+B138+B139+B140+B142</f>
        <v>5431</v>
      </c>
      <c r="C144" s="9" t="n">
        <f aca="false">C130+C132+C133+C134+C135+C136+C137+C138+C139+C140+C142</f>
        <v>5552</v>
      </c>
      <c r="D144" s="9" t="n">
        <f aca="false">D130+D132+D133+D134+D135+D136+D137+D138+D139+D140+D142</f>
        <v>85</v>
      </c>
      <c r="E144" s="9" t="n">
        <f aca="false">E130+E132+E133+E134+E135+E136+E137+E138+E139+E140+E142</f>
        <v>177679</v>
      </c>
      <c r="F144" s="9" t="n">
        <f aca="false">F130+F132+F133+F134+F135+F136+F137+F138+F139+F140+F142</f>
        <v>47589</v>
      </c>
      <c r="G144" s="9" t="n">
        <f aca="false">G130+G132+G133+G134+G135+G136+G137+G138+G139+G140+G142</f>
        <v>17050</v>
      </c>
      <c r="H144" s="9" t="n">
        <f aca="false">H130+H132+H133+H134+H135+H136+H137+H138+H139+H140+H142</f>
        <v>13580</v>
      </c>
      <c r="I144" s="9" t="n">
        <f aca="false">I130+I132+I133+I134+I135+I136+I137+I138+I139+I140+I142</f>
        <v>5350</v>
      </c>
      <c r="J144" s="9" t="n">
        <f aca="false">J130+J132+J133+J134+J135+J136+J137+J138+J139+J140+J142</f>
        <v>298</v>
      </c>
      <c r="K144" s="9" t="n">
        <f aca="false">K130+K132+K133+K134+K135+K136+K137+K138+K139+K140+K142</f>
        <v>470</v>
      </c>
      <c r="L144" s="9" t="n">
        <f aca="false">L130+L132+L133+L134+L135+L136+L137+L138+L139+L140+L142</f>
        <v>1400</v>
      </c>
      <c r="M144" s="9" t="n">
        <f aca="false">M130+M132+M133+M134+M135+M136+M137+M138+M139+M140+M142</f>
        <v>100</v>
      </c>
      <c r="N144" s="9" t="n">
        <f aca="false">N130+N132+N133+N134+N135+N136+N137+N138+N139+N140+N142</f>
        <v>1480</v>
      </c>
      <c r="O144" s="9" t="n">
        <f aca="false">O130+O132+O133+O134+O135+O136+O137+O138+O139+O140+O142</f>
        <v>3076</v>
      </c>
      <c r="P144" s="9" t="n">
        <f aca="false">P130+P132+P133+P134+P135+P136+P137+P138+P139+P140+P142</f>
        <v>1123</v>
      </c>
      <c r="Q144" s="9" t="n">
        <f aca="false">Q130+Q132+Q133+Q134+Q135+Q136+Q137+Q138+Q139+Q140+Q142</f>
        <v>676</v>
      </c>
      <c r="R144" s="9" t="n">
        <f aca="false">R130+R132+R133+R134+R135+R136+R137+R138+R139+R140+R142</f>
        <v>1200</v>
      </c>
      <c r="S144" s="9" t="n">
        <f aca="false">S130+S132+S133+S134+S135+S136+S137+S138+S139+S140+S142</f>
        <v>143619</v>
      </c>
      <c r="T144" s="9" t="n">
        <f aca="false">T130+T132+T133+T134+T135+T136+T137+T138+T139+T140+T142</f>
        <v>36489</v>
      </c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5" hidden="false" customHeight="false" outlineLevel="0" collapsed="false">
      <c r="A145" s="8" t="s">
        <v>156</v>
      </c>
      <c r="B145" s="9" t="n">
        <f aca="false">B130+B132+B133+B134+B135+B136+B137+B138+B139+B140+B142+B131+B141</f>
        <v>5734</v>
      </c>
      <c r="C145" s="9" t="n">
        <f aca="false">C130+C132+C133+C134+C135+C136+C137+C138+C139+C140+C142+C131+C141</f>
        <v>5854</v>
      </c>
      <c r="D145" s="9" t="n">
        <f aca="false">D130+D132+D133+D134+D135+D136+D137+D138+D139+D140+D142+D131+D141</f>
        <v>85</v>
      </c>
      <c r="E145" s="9" t="n">
        <f aca="false">E130+E132+E133+E134+E135+E136+E137+E138+E139+E140+E142+E131+E141</f>
        <v>185229</v>
      </c>
      <c r="F145" s="9" t="n">
        <f aca="false">F130+F132+F133+F134+F135+F136+F137+F138+F139+F140+F142+F131+F141</f>
        <v>49703</v>
      </c>
      <c r="G145" s="9" t="n">
        <f aca="false">G130+G132+G133+G134+G135+G136+G137+G138+G139+G140+G142+G131+G141</f>
        <v>17050</v>
      </c>
      <c r="H145" s="9" t="n">
        <f aca="false">H130+H132+H133+H134+H135+H136+H137+H138+H139+H140+H142+H131+H141</f>
        <v>13580</v>
      </c>
      <c r="I145" s="9" t="n">
        <f aca="false">I130+I132+I133+I134+I135+I136+I137+I138+I139+I140+I142+I131+I141</f>
        <v>5350</v>
      </c>
      <c r="J145" s="9" t="n">
        <f aca="false">J130+J132+J133+J134+J135+J136+J137+J138+J139+J140+J142+J131+J141</f>
        <v>298</v>
      </c>
      <c r="K145" s="9" t="n">
        <f aca="false">K130+K132+K133+K134+K135+K136+K137+K138+K139+K140+K142+K131+K141</f>
        <v>470</v>
      </c>
      <c r="L145" s="9" t="n">
        <f aca="false">L130+L132+L133+L134+L135+L136+L137+L138+L139+L140+L142+L131+L141</f>
        <v>1400</v>
      </c>
      <c r="M145" s="9" t="n">
        <f aca="false">M130+M132+M133+M134+M135+M136+M137+M138+M139+M140+M142+M131+M141</f>
        <v>100</v>
      </c>
      <c r="N145" s="9" t="n">
        <f aca="false">N130+N132+N133+N134+N135+N136+N137+N138+N139+N140+N142+N131+N141</f>
        <v>1480</v>
      </c>
      <c r="O145" s="9" t="n">
        <f aca="false">O130+O132+O133+O134+O135+O136+O137+O138+O139+O140+O142+O131+O141</f>
        <v>3076</v>
      </c>
      <c r="P145" s="9" t="n">
        <f aca="false">P130+P132+P133+P134+P135+P136+P137+P138+P139+P140+P142+P131+P141</f>
        <v>1123</v>
      </c>
      <c r="Q145" s="9" t="n">
        <f aca="false">Q130+Q132+Q133+Q134+Q135+Q136+Q137+Q138+Q139+Q140+Q142+Q131+Q141</f>
        <v>676</v>
      </c>
      <c r="R145" s="9" t="n">
        <f aca="false">R130+R132+R133+R134+R135+R136+R137+R138+R139+R140+R142+R131+R141</f>
        <v>1200</v>
      </c>
      <c r="S145" s="9" t="n">
        <f aca="false">S130+S132+S133+S134+S135+S136+S137+S138+S139+S140+S142+S131+S141</f>
        <v>151169</v>
      </c>
      <c r="T145" s="9" t="n">
        <f aca="false">T130+T132+T133+T134+T135+T136+T137+T138+T139+T140+T142+T131+T141</f>
        <v>38603</v>
      </c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5" hidden="false" customHeight="fals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5" hidden="false" customHeight="false" outlineLevel="0" collapsed="false">
      <c r="A147" s="3" t="s">
        <v>157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32" min="5" style="0" width="11"/>
  </cols>
  <sheetData>
    <row r="1" customFormat="false" ht="17.35" hidden="false" customHeight="false" outlineLevel="0" collapsed="false">
      <c r="A1" s="1" t="s">
        <v>158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false" outlineLevel="0" collapsed="false">
      <c r="A2" s="3" t="s">
        <v>159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customFormat="false" ht="42" hidden="false" customHeight="true" outlineLevel="0" collapsed="false">
      <c r="A4" s="11" t="s">
        <v>3</v>
      </c>
      <c r="B4" s="11" t="s">
        <v>67</v>
      </c>
      <c r="C4" s="11" t="s">
        <v>68</v>
      </c>
      <c r="D4" s="11" t="s">
        <v>160</v>
      </c>
      <c r="E4" s="11" t="s">
        <v>69</v>
      </c>
      <c r="F4" s="11" t="s">
        <v>70</v>
      </c>
      <c r="G4" s="11" t="s">
        <v>71</v>
      </c>
      <c r="H4" s="11" t="s">
        <v>72</v>
      </c>
      <c r="I4" s="11" t="s">
        <v>73</v>
      </c>
      <c r="J4" s="11" t="s">
        <v>74</v>
      </c>
      <c r="K4" s="11" t="s">
        <v>75</v>
      </c>
      <c r="L4" s="11" t="s">
        <v>76</v>
      </c>
      <c r="M4" s="11" t="s">
        <v>77</v>
      </c>
      <c r="N4" s="11" t="s">
        <v>78</v>
      </c>
      <c r="O4" s="11" t="s">
        <v>79</v>
      </c>
      <c r="P4" s="11" t="s">
        <v>80</v>
      </c>
      <c r="Q4" s="11" t="s">
        <v>81</v>
      </c>
      <c r="R4" s="11" t="s">
        <v>82</v>
      </c>
      <c r="S4" s="11" t="s">
        <v>83</v>
      </c>
      <c r="T4" s="11" t="s">
        <v>84</v>
      </c>
      <c r="U4" s="11" t="s">
        <v>85</v>
      </c>
      <c r="V4" s="11" t="s">
        <v>86</v>
      </c>
      <c r="W4" s="11" t="s">
        <v>87</v>
      </c>
      <c r="X4" s="11" t="s">
        <v>88</v>
      </c>
      <c r="Y4" s="11" t="s">
        <v>89</v>
      </c>
      <c r="Z4" s="11" t="s">
        <v>90</v>
      </c>
      <c r="AA4" s="11" t="s">
        <v>91</v>
      </c>
      <c r="AB4" s="11" t="s">
        <v>92</v>
      </c>
      <c r="AC4" s="11" t="s">
        <v>93</v>
      </c>
      <c r="AD4" s="11" t="s">
        <v>94</v>
      </c>
      <c r="AE4" s="11" t="s">
        <v>95</v>
      </c>
      <c r="AF4" s="11" t="s">
        <v>96</v>
      </c>
    </row>
    <row r="5" customFormat="false" ht="15" hidden="false" customHeight="false" outlineLevel="0" collapsed="false">
      <c r="A5" s="6" t="s">
        <v>6</v>
      </c>
      <c r="B5" s="6" t="s">
        <v>107</v>
      </c>
      <c r="C5" s="22" t="n">
        <v>1027</v>
      </c>
      <c r="D5" s="6" t="s">
        <v>161</v>
      </c>
      <c r="E5" s="16" t="n">
        <v>13</v>
      </c>
      <c r="F5" s="16" t="n">
        <v>4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0</v>
      </c>
      <c r="L5" s="16" t="n">
        <v>0</v>
      </c>
      <c r="M5" s="16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R5" s="16" t="n">
        <v>0</v>
      </c>
      <c r="S5" s="14" t="n">
        <f aca="false">$C5*E5</f>
        <v>13351</v>
      </c>
      <c r="T5" s="14" t="n">
        <f aca="false">$C5*F5</f>
        <v>4108</v>
      </c>
      <c r="U5" s="14" t="n">
        <f aca="false">$C5*G5</f>
        <v>0</v>
      </c>
      <c r="V5" s="14" t="n">
        <f aca="false">$C5*H5</f>
        <v>0</v>
      </c>
      <c r="W5" s="14" t="n">
        <f aca="false">$C5*I5</f>
        <v>0</v>
      </c>
      <c r="X5" s="14" t="n">
        <f aca="false">$C5*J5</f>
        <v>0</v>
      </c>
      <c r="Y5" s="14" t="n">
        <f aca="false">$C5*K5</f>
        <v>0</v>
      </c>
      <c r="Z5" s="14" t="n">
        <f aca="false">$C5*L5</f>
        <v>0</v>
      </c>
      <c r="AA5" s="14" t="n">
        <f aca="false">$C5*M5</f>
        <v>0</v>
      </c>
      <c r="AB5" s="14" t="n">
        <f aca="false">$C5*N5</f>
        <v>0</v>
      </c>
      <c r="AC5" s="14" t="n">
        <f aca="false">$C5*O5</f>
        <v>0</v>
      </c>
      <c r="AD5" s="14" t="n">
        <f aca="false">$C5*P5</f>
        <v>0</v>
      </c>
      <c r="AE5" s="14" t="n">
        <f aca="false">$C5*Q5</f>
        <v>0</v>
      </c>
      <c r="AF5" s="14" t="n">
        <f aca="false">$C5*R5</f>
        <v>0</v>
      </c>
    </row>
    <row r="6" customFormat="false" ht="15" hidden="false" customHeight="false" outlineLevel="0" collapsed="false">
      <c r="A6" s="6" t="s">
        <v>6</v>
      </c>
      <c r="B6" s="6" t="s">
        <v>105</v>
      </c>
      <c r="C6" s="22" t="n">
        <v>758</v>
      </c>
      <c r="D6" s="6" t="s">
        <v>161</v>
      </c>
      <c r="E6" s="16" t="n">
        <v>12</v>
      </c>
      <c r="F6" s="16" t="n">
        <v>3</v>
      </c>
      <c r="G6" s="16" t="n">
        <v>0</v>
      </c>
      <c r="H6" s="16" t="n">
        <v>0</v>
      </c>
      <c r="I6" s="16" t="n">
        <v>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R6" s="16" t="n">
        <v>0</v>
      </c>
      <c r="S6" s="14" t="n">
        <f aca="false">$C6*E6</f>
        <v>9096</v>
      </c>
      <c r="T6" s="14" t="n">
        <f aca="false">$C6*F6</f>
        <v>2274</v>
      </c>
      <c r="U6" s="14" t="n">
        <f aca="false">$C6*G6</f>
        <v>0</v>
      </c>
      <c r="V6" s="14" t="n">
        <f aca="false">$C6*H6</f>
        <v>0</v>
      </c>
      <c r="W6" s="14" t="n">
        <f aca="false">$C6*I6</f>
        <v>0</v>
      </c>
      <c r="X6" s="14" t="n">
        <f aca="false">$C6*J6</f>
        <v>0</v>
      </c>
      <c r="Y6" s="14" t="n">
        <f aca="false">$C6*K6</f>
        <v>0</v>
      </c>
      <c r="Z6" s="14" t="n">
        <f aca="false">$C6*L6</f>
        <v>0</v>
      </c>
      <c r="AA6" s="14" t="n">
        <f aca="false">$C6*M6</f>
        <v>0</v>
      </c>
      <c r="AB6" s="14" t="n">
        <f aca="false">$C6*N6</f>
        <v>0</v>
      </c>
      <c r="AC6" s="14" t="n">
        <f aca="false">$C6*O6</f>
        <v>0</v>
      </c>
      <c r="AD6" s="14" t="n">
        <f aca="false">$C6*P6</f>
        <v>0</v>
      </c>
      <c r="AE6" s="14" t="n">
        <f aca="false">$C6*Q6</f>
        <v>0</v>
      </c>
      <c r="AF6" s="14" t="n">
        <f aca="false">$C6*R6</f>
        <v>0</v>
      </c>
    </row>
    <row r="7" customFormat="false" ht="15" hidden="false" customHeight="false" outlineLevel="0" collapsed="false">
      <c r="A7" s="6" t="s">
        <v>6</v>
      </c>
      <c r="B7" s="6" t="s">
        <v>97</v>
      </c>
      <c r="C7" s="22" t="n">
        <v>684</v>
      </c>
      <c r="D7" s="6"/>
      <c r="E7" s="16" t="n">
        <v>25</v>
      </c>
      <c r="F7" s="16" t="n">
        <v>8</v>
      </c>
      <c r="G7" s="16" t="n">
        <v>0</v>
      </c>
      <c r="H7" s="16" t="n">
        <v>0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R7" s="16" t="n">
        <v>0</v>
      </c>
      <c r="S7" s="14" t="n">
        <f aca="false">$C7*E7</f>
        <v>17100</v>
      </c>
      <c r="T7" s="14" t="n">
        <f aca="false">$C7*F7</f>
        <v>5472</v>
      </c>
      <c r="U7" s="14" t="n">
        <f aca="false">$C7*G7</f>
        <v>0</v>
      </c>
      <c r="V7" s="14" t="n">
        <f aca="false">$C7*H7</f>
        <v>0</v>
      </c>
      <c r="W7" s="14" t="n">
        <f aca="false">$C7*I7</f>
        <v>0</v>
      </c>
      <c r="X7" s="14" t="n">
        <f aca="false">$C7*J7</f>
        <v>0</v>
      </c>
      <c r="Y7" s="14" t="n">
        <f aca="false">$C7*K7</f>
        <v>0</v>
      </c>
      <c r="Z7" s="14" t="n">
        <f aca="false">$C7*L7</f>
        <v>0</v>
      </c>
      <c r="AA7" s="14" t="n">
        <f aca="false">$C7*M7</f>
        <v>0</v>
      </c>
      <c r="AB7" s="14" t="n">
        <f aca="false">$C7*N7</f>
        <v>0</v>
      </c>
      <c r="AC7" s="14" t="n">
        <f aca="false">$C7*O7</f>
        <v>0</v>
      </c>
      <c r="AD7" s="14" t="n">
        <f aca="false">$C7*P7</f>
        <v>0</v>
      </c>
      <c r="AE7" s="14" t="n">
        <f aca="false">$C7*Q7</f>
        <v>0</v>
      </c>
      <c r="AF7" s="14" t="n">
        <f aca="false">$C7*R7</f>
        <v>0</v>
      </c>
    </row>
    <row r="8" customFormat="false" ht="15" hidden="false" customHeight="false" outlineLevel="0" collapsed="false">
      <c r="A8" s="6" t="s">
        <v>6</v>
      </c>
      <c r="B8" s="6" t="s">
        <v>106</v>
      </c>
      <c r="C8" s="22" t="n">
        <v>681</v>
      </c>
      <c r="D8" s="6" t="s">
        <v>161</v>
      </c>
      <c r="E8" s="16" t="n">
        <v>25</v>
      </c>
      <c r="F8" s="16" t="n">
        <v>7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R8" s="16" t="n">
        <v>0</v>
      </c>
      <c r="S8" s="14" t="n">
        <f aca="false">$C8*E8</f>
        <v>17025</v>
      </c>
      <c r="T8" s="14" t="n">
        <f aca="false">$C8*F8</f>
        <v>4767</v>
      </c>
      <c r="U8" s="14" t="n">
        <f aca="false">$C8*G8</f>
        <v>0</v>
      </c>
      <c r="V8" s="14" t="n">
        <f aca="false">$C8*H8</f>
        <v>0</v>
      </c>
      <c r="W8" s="14" t="n">
        <f aca="false">$C8*I8</f>
        <v>0</v>
      </c>
      <c r="X8" s="14" t="n">
        <f aca="false">$C8*J8</f>
        <v>0</v>
      </c>
      <c r="Y8" s="14" t="n">
        <f aca="false">$C8*K8</f>
        <v>0</v>
      </c>
      <c r="Z8" s="14" t="n">
        <f aca="false">$C8*L8</f>
        <v>0</v>
      </c>
      <c r="AA8" s="14" t="n">
        <f aca="false">$C8*M8</f>
        <v>0</v>
      </c>
      <c r="AB8" s="14" t="n">
        <f aca="false">$C8*N8</f>
        <v>0</v>
      </c>
      <c r="AC8" s="14" t="n">
        <f aca="false">$C8*O8</f>
        <v>0</v>
      </c>
      <c r="AD8" s="14" t="n">
        <f aca="false">$C8*P8</f>
        <v>0</v>
      </c>
      <c r="AE8" s="14" t="n">
        <f aca="false">$C8*Q8</f>
        <v>0</v>
      </c>
      <c r="AF8" s="14" t="n">
        <f aca="false">$C8*R8</f>
        <v>0</v>
      </c>
    </row>
    <row r="9" customFormat="false" ht="15" hidden="false" customHeight="false" outlineLevel="0" collapsed="false">
      <c r="A9" s="6" t="s">
        <v>6</v>
      </c>
      <c r="B9" s="6" t="s">
        <v>115</v>
      </c>
      <c r="C9" s="22" t="n">
        <v>629</v>
      </c>
      <c r="D9" s="6" t="s">
        <v>161</v>
      </c>
      <c r="E9" s="16" t="n">
        <v>18</v>
      </c>
      <c r="F9" s="16" t="n">
        <v>5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R9" s="16" t="n">
        <v>0</v>
      </c>
      <c r="S9" s="14" t="n">
        <f aca="false">$C9*E9</f>
        <v>11322</v>
      </c>
      <c r="T9" s="14" t="n">
        <f aca="false">$C9*F9</f>
        <v>3145</v>
      </c>
      <c r="U9" s="14" t="n">
        <f aca="false">$C9*G9</f>
        <v>0</v>
      </c>
      <c r="V9" s="14" t="n">
        <f aca="false">$C9*H9</f>
        <v>0</v>
      </c>
      <c r="W9" s="14" t="n">
        <f aca="false">$C9*I9</f>
        <v>0</v>
      </c>
      <c r="X9" s="14" t="n">
        <f aca="false">$C9*J9</f>
        <v>0</v>
      </c>
      <c r="Y9" s="14" t="n">
        <f aca="false">$C9*K9</f>
        <v>0</v>
      </c>
      <c r="Z9" s="14" t="n">
        <f aca="false">$C9*L9</f>
        <v>0</v>
      </c>
      <c r="AA9" s="14" t="n">
        <f aca="false">$C9*M9</f>
        <v>0</v>
      </c>
      <c r="AB9" s="14" t="n">
        <f aca="false">$C9*N9</f>
        <v>0</v>
      </c>
      <c r="AC9" s="14" t="n">
        <f aca="false">$C9*O9</f>
        <v>0</v>
      </c>
      <c r="AD9" s="14" t="n">
        <f aca="false">$C9*P9</f>
        <v>0</v>
      </c>
      <c r="AE9" s="14" t="n">
        <f aca="false">$C9*Q9</f>
        <v>0</v>
      </c>
      <c r="AF9" s="14" t="n">
        <f aca="false">$C9*R9</f>
        <v>0</v>
      </c>
    </row>
    <row r="10" customFormat="false" ht="15" hidden="false" customHeight="false" outlineLevel="0" collapsed="false">
      <c r="A10" s="6" t="s">
        <v>6</v>
      </c>
      <c r="B10" s="6" t="s">
        <v>114</v>
      </c>
      <c r="C10" s="22" t="n">
        <v>515</v>
      </c>
      <c r="D10" s="6"/>
      <c r="E10" s="16" t="n">
        <v>25</v>
      </c>
      <c r="F10" s="16" t="n">
        <v>7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R10" s="16" t="n">
        <v>0</v>
      </c>
      <c r="S10" s="14" t="n">
        <f aca="false">$C10*E10</f>
        <v>12875</v>
      </c>
      <c r="T10" s="14" t="n">
        <f aca="false">$C10*F10</f>
        <v>3605</v>
      </c>
      <c r="U10" s="14" t="n">
        <f aca="false">$C10*G10</f>
        <v>0</v>
      </c>
      <c r="V10" s="14" t="n">
        <f aca="false">$C10*H10</f>
        <v>0</v>
      </c>
      <c r="W10" s="14" t="n">
        <f aca="false">$C10*I10</f>
        <v>0</v>
      </c>
      <c r="X10" s="14" t="n">
        <f aca="false">$C10*J10</f>
        <v>0</v>
      </c>
      <c r="Y10" s="14" t="n">
        <f aca="false">$C10*K10</f>
        <v>0</v>
      </c>
      <c r="Z10" s="14" t="n">
        <f aca="false">$C10*L10</f>
        <v>0</v>
      </c>
      <c r="AA10" s="14" t="n">
        <f aca="false">$C10*M10</f>
        <v>0</v>
      </c>
      <c r="AB10" s="14" t="n">
        <f aca="false">$C10*N10</f>
        <v>0</v>
      </c>
      <c r="AC10" s="14" t="n">
        <f aca="false">$C10*O10</f>
        <v>0</v>
      </c>
      <c r="AD10" s="14" t="n">
        <f aca="false">$C10*P10</f>
        <v>0</v>
      </c>
      <c r="AE10" s="14" t="n">
        <f aca="false">$C10*Q10</f>
        <v>0</v>
      </c>
      <c r="AF10" s="14" t="n">
        <f aca="false">$C10*R10</f>
        <v>0</v>
      </c>
    </row>
    <row r="11" customFormat="false" ht="15" hidden="false" customHeight="false" outlineLevel="0" collapsed="false">
      <c r="A11" s="6" t="s">
        <v>6</v>
      </c>
      <c r="B11" s="6" t="s">
        <v>98</v>
      </c>
      <c r="C11" s="22" t="n">
        <v>344</v>
      </c>
      <c r="D11" s="6"/>
      <c r="E11" s="16" t="n">
        <v>50</v>
      </c>
      <c r="F11" s="16" t="n">
        <v>15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0</v>
      </c>
      <c r="L11" s="16" t="n">
        <v>0</v>
      </c>
      <c r="M11" s="16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R11" s="16" t="n">
        <v>0</v>
      </c>
      <c r="S11" s="14" t="n">
        <f aca="false">$C11*E11</f>
        <v>17200</v>
      </c>
      <c r="T11" s="14" t="n">
        <f aca="false">$C11*F11</f>
        <v>5160</v>
      </c>
      <c r="U11" s="14" t="n">
        <f aca="false">$C11*G11</f>
        <v>0</v>
      </c>
      <c r="V11" s="14" t="n">
        <f aca="false">$C11*H11</f>
        <v>0</v>
      </c>
      <c r="W11" s="14" t="n">
        <f aca="false">$C11*I11</f>
        <v>0</v>
      </c>
      <c r="X11" s="14" t="n">
        <f aca="false">$C11*J11</f>
        <v>0</v>
      </c>
      <c r="Y11" s="14" t="n">
        <f aca="false">$C11*K11</f>
        <v>0</v>
      </c>
      <c r="Z11" s="14" t="n">
        <f aca="false">$C11*L11</f>
        <v>0</v>
      </c>
      <c r="AA11" s="14" t="n">
        <f aca="false">$C11*M11</f>
        <v>0</v>
      </c>
      <c r="AB11" s="14" t="n">
        <f aca="false">$C11*N11</f>
        <v>0</v>
      </c>
      <c r="AC11" s="14" t="n">
        <f aca="false">$C11*O11</f>
        <v>0</v>
      </c>
      <c r="AD11" s="14" t="n">
        <f aca="false">$C11*P11</f>
        <v>0</v>
      </c>
      <c r="AE11" s="14" t="n">
        <f aca="false">$C11*Q11</f>
        <v>0</v>
      </c>
      <c r="AF11" s="14" t="n">
        <f aca="false">$C11*R11</f>
        <v>0</v>
      </c>
    </row>
    <row r="12" customFormat="false" ht="15" hidden="false" customHeight="false" outlineLevel="0" collapsed="false">
      <c r="A12" s="6" t="s">
        <v>6</v>
      </c>
      <c r="B12" s="6" t="s">
        <v>116</v>
      </c>
      <c r="C12" s="22" t="n">
        <v>311</v>
      </c>
      <c r="D12" s="6"/>
      <c r="E12" s="16" t="n">
        <v>35</v>
      </c>
      <c r="F12" s="16" t="n">
        <v>10</v>
      </c>
      <c r="G12" s="16" t="n">
        <v>0</v>
      </c>
      <c r="H12" s="16" t="n">
        <v>0</v>
      </c>
      <c r="I12" s="16" t="n">
        <v>0</v>
      </c>
      <c r="J12" s="16" t="n">
        <v>0</v>
      </c>
      <c r="K12" s="16" t="n">
        <v>0</v>
      </c>
      <c r="L12" s="16" t="n">
        <v>0</v>
      </c>
      <c r="M12" s="16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R12" s="16" t="n">
        <v>0</v>
      </c>
      <c r="S12" s="14" t="n">
        <f aca="false">$C12*E12</f>
        <v>10885</v>
      </c>
      <c r="T12" s="14" t="n">
        <f aca="false">$C12*F12</f>
        <v>3110</v>
      </c>
      <c r="U12" s="14" t="n">
        <f aca="false">$C12*G12</f>
        <v>0</v>
      </c>
      <c r="V12" s="14" t="n">
        <f aca="false">$C12*H12</f>
        <v>0</v>
      </c>
      <c r="W12" s="14" t="n">
        <f aca="false">$C12*I12</f>
        <v>0</v>
      </c>
      <c r="X12" s="14" t="n">
        <f aca="false">$C12*J12</f>
        <v>0</v>
      </c>
      <c r="Y12" s="14" t="n">
        <f aca="false">$C12*K12</f>
        <v>0</v>
      </c>
      <c r="Z12" s="14" t="n">
        <f aca="false">$C12*L12</f>
        <v>0</v>
      </c>
      <c r="AA12" s="14" t="n">
        <f aca="false">$C12*M12</f>
        <v>0</v>
      </c>
      <c r="AB12" s="14" t="n">
        <f aca="false">$C12*N12</f>
        <v>0</v>
      </c>
      <c r="AC12" s="14" t="n">
        <f aca="false">$C12*O12</f>
        <v>0</v>
      </c>
      <c r="AD12" s="14" t="n">
        <f aca="false">$C12*P12</f>
        <v>0</v>
      </c>
      <c r="AE12" s="14" t="n">
        <f aca="false">$C12*Q12</f>
        <v>0</v>
      </c>
      <c r="AF12" s="14" t="n">
        <f aca="false">$C12*R12</f>
        <v>0</v>
      </c>
    </row>
    <row r="13" customFormat="false" ht="15" hidden="false" customHeight="false" outlineLevel="0" collapsed="false">
      <c r="A13" s="6" t="s">
        <v>6</v>
      </c>
      <c r="B13" s="6" t="s">
        <v>102</v>
      </c>
      <c r="C13" s="22" t="n">
        <v>240</v>
      </c>
      <c r="D13" s="6"/>
      <c r="E13" s="16" t="n">
        <v>25</v>
      </c>
      <c r="F13" s="16" t="n">
        <v>7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0</v>
      </c>
      <c r="S13" s="14" t="n">
        <f aca="false">$C13*E13</f>
        <v>6000</v>
      </c>
      <c r="T13" s="14" t="n">
        <f aca="false">$C13*F13</f>
        <v>1680</v>
      </c>
      <c r="U13" s="14" t="n">
        <f aca="false">$C13*G13</f>
        <v>0</v>
      </c>
      <c r="V13" s="14" t="n">
        <f aca="false">$C13*H13</f>
        <v>0</v>
      </c>
      <c r="W13" s="14" t="n">
        <f aca="false">$C13*I13</f>
        <v>0</v>
      </c>
      <c r="X13" s="14" t="n">
        <f aca="false">$C13*J13</f>
        <v>0</v>
      </c>
      <c r="Y13" s="14" t="n">
        <f aca="false">$C13*K13</f>
        <v>0</v>
      </c>
      <c r="Z13" s="14" t="n">
        <f aca="false">$C13*L13</f>
        <v>0</v>
      </c>
      <c r="AA13" s="14" t="n">
        <f aca="false">$C13*M13</f>
        <v>0</v>
      </c>
      <c r="AB13" s="14" t="n">
        <f aca="false">$C13*N13</f>
        <v>0</v>
      </c>
      <c r="AC13" s="14" t="n">
        <f aca="false">$C13*O13</f>
        <v>0</v>
      </c>
      <c r="AD13" s="14" t="n">
        <f aca="false">$C13*P13</f>
        <v>0</v>
      </c>
      <c r="AE13" s="14" t="n">
        <f aca="false">$C13*Q13</f>
        <v>0</v>
      </c>
      <c r="AF13" s="14" t="n">
        <f aca="false">$C13*R13</f>
        <v>0</v>
      </c>
    </row>
    <row r="14" customFormat="false" ht="15" hidden="false" customHeight="false" outlineLevel="0" collapsed="false">
      <c r="A14" s="6" t="s">
        <v>6</v>
      </c>
      <c r="B14" s="6" t="s">
        <v>108</v>
      </c>
      <c r="C14" s="22" t="n">
        <v>43</v>
      </c>
      <c r="D14" s="6" t="s">
        <v>161</v>
      </c>
      <c r="E14" s="16" t="n">
        <v>7</v>
      </c>
      <c r="F14" s="16" t="n">
        <v>2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R14" s="16" t="n">
        <v>0</v>
      </c>
      <c r="S14" s="14" t="n">
        <f aca="false">$C14*E14</f>
        <v>301</v>
      </c>
      <c r="T14" s="14" t="n">
        <f aca="false">$C14*F14</f>
        <v>86</v>
      </c>
      <c r="U14" s="14" t="n">
        <f aca="false">$C14*G14</f>
        <v>0</v>
      </c>
      <c r="V14" s="14" t="n">
        <f aca="false">$C14*H14</f>
        <v>0</v>
      </c>
      <c r="W14" s="14" t="n">
        <f aca="false">$C14*I14</f>
        <v>0</v>
      </c>
      <c r="X14" s="14" t="n">
        <f aca="false">$C14*J14</f>
        <v>0</v>
      </c>
      <c r="Y14" s="14" t="n">
        <f aca="false">$C14*K14</f>
        <v>0</v>
      </c>
      <c r="Z14" s="14" t="n">
        <f aca="false">$C14*L14</f>
        <v>0</v>
      </c>
      <c r="AA14" s="14" t="n">
        <f aca="false">$C14*M14</f>
        <v>0</v>
      </c>
      <c r="AB14" s="14" t="n">
        <f aca="false">$C14*N14</f>
        <v>0</v>
      </c>
      <c r="AC14" s="14" t="n">
        <f aca="false">$C14*O14</f>
        <v>0</v>
      </c>
      <c r="AD14" s="14" t="n">
        <f aca="false">$C14*P14</f>
        <v>0</v>
      </c>
      <c r="AE14" s="14" t="n">
        <f aca="false">$C14*Q14</f>
        <v>0</v>
      </c>
      <c r="AF14" s="14" t="n">
        <f aca="false">$C14*R14</f>
        <v>0</v>
      </c>
    </row>
    <row r="15" customFormat="false" ht="15" hidden="false" customHeight="false" outlineLevel="0" collapsed="false">
      <c r="A15" s="6" t="s">
        <v>6</v>
      </c>
      <c r="B15" s="6" t="s">
        <v>117</v>
      </c>
      <c r="C15" s="22" t="n">
        <v>6</v>
      </c>
      <c r="D15" s="6" t="s">
        <v>161</v>
      </c>
      <c r="E15" s="16" t="n">
        <v>50</v>
      </c>
      <c r="F15" s="16" t="n">
        <v>15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14" t="n">
        <f aca="false">$C15*E15</f>
        <v>300</v>
      </c>
      <c r="T15" s="14" t="n">
        <f aca="false">$C15*F15</f>
        <v>90</v>
      </c>
      <c r="U15" s="14" t="n">
        <f aca="false">$C15*G15</f>
        <v>0</v>
      </c>
      <c r="V15" s="14" t="n">
        <f aca="false">$C15*H15</f>
        <v>0</v>
      </c>
      <c r="W15" s="14" t="n">
        <f aca="false">$C15*I15</f>
        <v>0</v>
      </c>
      <c r="X15" s="14" t="n">
        <f aca="false">$C15*J15</f>
        <v>0</v>
      </c>
      <c r="Y15" s="14" t="n">
        <f aca="false">$C15*K15</f>
        <v>0</v>
      </c>
      <c r="Z15" s="14" t="n">
        <f aca="false">$C15*L15</f>
        <v>0</v>
      </c>
      <c r="AA15" s="14" t="n">
        <f aca="false">$C15*M15</f>
        <v>0</v>
      </c>
      <c r="AB15" s="14" t="n">
        <f aca="false">$C15*N15</f>
        <v>0</v>
      </c>
      <c r="AC15" s="14" t="n">
        <f aca="false">$C15*O15</f>
        <v>0</v>
      </c>
      <c r="AD15" s="14" t="n">
        <f aca="false">$C15*P15</f>
        <v>0</v>
      </c>
      <c r="AE15" s="14" t="n">
        <f aca="false">$C15*Q15</f>
        <v>0</v>
      </c>
      <c r="AF15" s="14" t="n">
        <f aca="false">$C15*R15</f>
        <v>0</v>
      </c>
    </row>
    <row r="16" customFormat="false" ht="15" hidden="false" customHeight="false" outlineLevel="0" collapsed="false">
      <c r="A16" s="6" t="s">
        <v>6</v>
      </c>
      <c r="B16" s="6" t="s">
        <v>120</v>
      </c>
      <c r="C16" s="22" t="n">
        <v>6</v>
      </c>
      <c r="D16" s="6" t="s">
        <v>161</v>
      </c>
      <c r="E16" s="16" t="n">
        <v>35</v>
      </c>
      <c r="F16" s="16" t="n">
        <v>10</v>
      </c>
      <c r="G16" s="16" t="n">
        <v>0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R16" s="16" t="n">
        <v>0</v>
      </c>
      <c r="S16" s="14" t="n">
        <f aca="false">$C16*E16</f>
        <v>210</v>
      </c>
      <c r="T16" s="14" t="n">
        <f aca="false">$C16*F16</f>
        <v>60</v>
      </c>
      <c r="U16" s="14" t="n">
        <f aca="false">$C16*G16</f>
        <v>0</v>
      </c>
      <c r="V16" s="14" t="n">
        <f aca="false">$C16*H16</f>
        <v>0</v>
      </c>
      <c r="W16" s="14" t="n">
        <f aca="false">$C16*I16</f>
        <v>0</v>
      </c>
      <c r="X16" s="14" t="n">
        <f aca="false">$C16*J16</f>
        <v>0</v>
      </c>
      <c r="Y16" s="14" t="n">
        <f aca="false">$C16*K16</f>
        <v>0</v>
      </c>
      <c r="Z16" s="14" t="n">
        <f aca="false">$C16*L16</f>
        <v>0</v>
      </c>
      <c r="AA16" s="14" t="n">
        <f aca="false">$C16*M16</f>
        <v>0</v>
      </c>
      <c r="AB16" s="14" t="n">
        <f aca="false">$C16*N16</f>
        <v>0</v>
      </c>
      <c r="AC16" s="14" t="n">
        <f aca="false">$C16*O16</f>
        <v>0</v>
      </c>
      <c r="AD16" s="14" t="n">
        <f aca="false">$C16*P16</f>
        <v>0</v>
      </c>
      <c r="AE16" s="14" t="n">
        <f aca="false">$C16*Q16</f>
        <v>0</v>
      </c>
      <c r="AF16" s="14" t="n">
        <f aca="false">$C16*R16</f>
        <v>0</v>
      </c>
    </row>
    <row r="17" customFormat="false" ht="15" hidden="false" customHeight="false" outlineLevel="0" collapsed="false">
      <c r="A17" s="6" t="s">
        <v>8</v>
      </c>
      <c r="B17" s="6" t="s">
        <v>126</v>
      </c>
      <c r="C17" s="22" t="n">
        <v>9</v>
      </c>
      <c r="D17" s="6" t="s">
        <v>161</v>
      </c>
      <c r="E17" s="16" t="n">
        <v>0</v>
      </c>
      <c r="F17" s="16" t="n">
        <v>0</v>
      </c>
      <c r="G17" s="16" t="n">
        <v>0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16" t="n">
        <v>0</v>
      </c>
      <c r="O17" s="16" t="n">
        <v>40</v>
      </c>
      <c r="P17" s="16" t="n">
        <v>50</v>
      </c>
      <c r="Q17" s="16" t="n">
        <v>40</v>
      </c>
      <c r="R17" s="16" t="n">
        <v>100</v>
      </c>
      <c r="S17" s="14" t="n">
        <f aca="false">$C17*E17</f>
        <v>0</v>
      </c>
      <c r="T17" s="14" t="n">
        <f aca="false">$C17*F17</f>
        <v>0</v>
      </c>
      <c r="U17" s="14" t="n">
        <f aca="false">$C17*G17</f>
        <v>0</v>
      </c>
      <c r="V17" s="14" t="n">
        <f aca="false">$C17*H17</f>
        <v>0</v>
      </c>
      <c r="W17" s="14" t="n">
        <f aca="false">$C17*I17</f>
        <v>0</v>
      </c>
      <c r="X17" s="14" t="n">
        <f aca="false">$C17*J17</f>
        <v>0</v>
      </c>
      <c r="Y17" s="14" t="n">
        <f aca="false">$C17*K17</f>
        <v>0</v>
      </c>
      <c r="Z17" s="14" t="n">
        <f aca="false">$C17*L17</f>
        <v>0</v>
      </c>
      <c r="AA17" s="14" t="n">
        <f aca="false">$C17*M17</f>
        <v>0</v>
      </c>
      <c r="AB17" s="14" t="n">
        <f aca="false">$C17*N17</f>
        <v>0</v>
      </c>
      <c r="AC17" s="14" t="n">
        <f aca="false">$C17*O17</f>
        <v>360</v>
      </c>
      <c r="AD17" s="14" t="n">
        <f aca="false">$C17*P17</f>
        <v>450</v>
      </c>
      <c r="AE17" s="14" t="n">
        <f aca="false">$C17*Q17</f>
        <v>360</v>
      </c>
      <c r="AF17" s="14" t="n">
        <f aca="false">$C17*R17</f>
        <v>900</v>
      </c>
    </row>
    <row r="18" customFormat="false" ht="15" hidden="false" customHeight="false" outlineLevel="0" collapsed="false">
      <c r="A18" s="6" t="s">
        <v>8</v>
      </c>
      <c r="B18" s="6" t="s">
        <v>129</v>
      </c>
      <c r="C18" s="22" t="n">
        <v>6</v>
      </c>
      <c r="D18" s="6" t="s">
        <v>161</v>
      </c>
      <c r="E18" s="16" t="n">
        <v>0</v>
      </c>
      <c r="F18" s="16" t="n">
        <v>0</v>
      </c>
      <c r="G18" s="16" t="n">
        <v>0</v>
      </c>
      <c r="H18" s="16" t="n">
        <v>0</v>
      </c>
      <c r="I18" s="16" t="n">
        <v>0</v>
      </c>
      <c r="J18" s="16" t="n">
        <v>0</v>
      </c>
      <c r="K18" s="16" t="n">
        <v>0</v>
      </c>
      <c r="L18" s="16" t="n">
        <v>0</v>
      </c>
      <c r="M18" s="16" t="n">
        <v>0</v>
      </c>
      <c r="N18" s="16" t="n">
        <v>0</v>
      </c>
      <c r="O18" s="16" t="n">
        <v>30</v>
      </c>
      <c r="P18" s="16" t="n">
        <v>20</v>
      </c>
      <c r="Q18" s="16" t="n">
        <v>0</v>
      </c>
      <c r="R18" s="16" t="n">
        <v>50</v>
      </c>
      <c r="S18" s="14" t="n">
        <f aca="false">$C18*E18</f>
        <v>0</v>
      </c>
      <c r="T18" s="14" t="n">
        <f aca="false">$C18*F18</f>
        <v>0</v>
      </c>
      <c r="U18" s="14" t="n">
        <f aca="false">$C18*G18</f>
        <v>0</v>
      </c>
      <c r="V18" s="14" t="n">
        <f aca="false">$C18*H18</f>
        <v>0</v>
      </c>
      <c r="W18" s="14" t="n">
        <f aca="false">$C18*I18</f>
        <v>0</v>
      </c>
      <c r="X18" s="14" t="n">
        <f aca="false">$C18*J18</f>
        <v>0</v>
      </c>
      <c r="Y18" s="14" t="n">
        <f aca="false">$C18*K18</f>
        <v>0</v>
      </c>
      <c r="Z18" s="14" t="n">
        <f aca="false">$C18*L18</f>
        <v>0</v>
      </c>
      <c r="AA18" s="14" t="n">
        <f aca="false">$C18*M18</f>
        <v>0</v>
      </c>
      <c r="AB18" s="14" t="n">
        <f aca="false">$C18*N18</f>
        <v>0</v>
      </c>
      <c r="AC18" s="14" t="n">
        <f aca="false">$C18*O18</f>
        <v>180</v>
      </c>
      <c r="AD18" s="14" t="n">
        <f aca="false">$C18*P18</f>
        <v>120</v>
      </c>
      <c r="AE18" s="14" t="n">
        <f aca="false">$C18*Q18</f>
        <v>0</v>
      </c>
      <c r="AF18" s="14" t="n">
        <f aca="false">$C18*R18</f>
        <v>300</v>
      </c>
    </row>
    <row r="19" customFormat="false" ht="15" hidden="false" customHeight="false" outlineLevel="0" collapsed="false">
      <c r="A19" s="6" t="s">
        <v>10</v>
      </c>
      <c r="B19" s="6" t="s">
        <v>142</v>
      </c>
      <c r="C19" s="22" t="n">
        <v>8</v>
      </c>
      <c r="D19" s="6" t="s">
        <v>161</v>
      </c>
      <c r="E19" s="16" t="n">
        <v>13</v>
      </c>
      <c r="F19" s="16" t="n">
        <v>4</v>
      </c>
      <c r="G19" s="16" t="n">
        <v>0</v>
      </c>
      <c r="H19" s="16" t="n">
        <v>0</v>
      </c>
      <c r="I19" s="16" t="n">
        <v>0</v>
      </c>
      <c r="J19" s="16" t="n">
        <v>0</v>
      </c>
      <c r="K19" s="16" t="n">
        <v>0</v>
      </c>
      <c r="L19" s="16" t="n">
        <v>0</v>
      </c>
      <c r="M19" s="16" t="n">
        <v>0</v>
      </c>
      <c r="N19" s="16" t="n">
        <v>0</v>
      </c>
      <c r="O19" s="16" t="n">
        <v>0</v>
      </c>
      <c r="P19" s="16" t="n">
        <v>0</v>
      </c>
      <c r="Q19" s="16" t="n">
        <v>0</v>
      </c>
      <c r="R19" s="16" t="n">
        <v>0</v>
      </c>
      <c r="S19" s="14" t="n">
        <f aca="false">$C19*E19</f>
        <v>104</v>
      </c>
      <c r="T19" s="14" t="n">
        <f aca="false">$C19*F19</f>
        <v>32</v>
      </c>
      <c r="U19" s="14" t="n">
        <f aca="false">$C19*G19</f>
        <v>0</v>
      </c>
      <c r="V19" s="14" t="n">
        <f aca="false">$C19*H19</f>
        <v>0</v>
      </c>
      <c r="W19" s="14" t="n">
        <f aca="false">$C19*I19</f>
        <v>0</v>
      </c>
      <c r="X19" s="14" t="n">
        <f aca="false">$C19*J19</f>
        <v>0</v>
      </c>
      <c r="Y19" s="14" t="n">
        <f aca="false">$C19*K19</f>
        <v>0</v>
      </c>
      <c r="Z19" s="14" t="n">
        <f aca="false">$C19*L19</f>
        <v>0</v>
      </c>
      <c r="AA19" s="14" t="n">
        <f aca="false">$C19*M19</f>
        <v>0</v>
      </c>
      <c r="AB19" s="14" t="n">
        <f aca="false">$C19*N19</f>
        <v>0</v>
      </c>
      <c r="AC19" s="14" t="n">
        <f aca="false">$C19*O19</f>
        <v>0</v>
      </c>
      <c r="AD19" s="14" t="n">
        <f aca="false">$C19*P19</f>
        <v>0</v>
      </c>
      <c r="AE19" s="14" t="n">
        <f aca="false">$C19*Q19</f>
        <v>0</v>
      </c>
      <c r="AF19" s="14" t="n">
        <f aca="false">$C19*R19</f>
        <v>0</v>
      </c>
    </row>
    <row r="20" customFormat="false" ht="15" hidden="false" customHeight="false" outlineLevel="0" collapsed="false">
      <c r="A20" s="6" t="s">
        <v>12</v>
      </c>
      <c r="B20" s="6" t="s">
        <v>139</v>
      </c>
      <c r="C20" s="22" t="n">
        <v>74</v>
      </c>
      <c r="D20" s="6"/>
      <c r="E20" s="16" t="n">
        <v>25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20</v>
      </c>
      <c r="O20" s="16" t="n">
        <v>30</v>
      </c>
      <c r="P20" s="16" t="n">
        <v>0</v>
      </c>
      <c r="Q20" s="16" t="n">
        <v>0</v>
      </c>
      <c r="R20" s="16" t="n">
        <v>0</v>
      </c>
      <c r="S20" s="14" t="n">
        <f aca="false">$C20*E20</f>
        <v>1850</v>
      </c>
      <c r="T20" s="14" t="n">
        <f aca="false">$C20*F20</f>
        <v>0</v>
      </c>
      <c r="U20" s="14" t="n">
        <f aca="false">$C20*G20</f>
        <v>0</v>
      </c>
      <c r="V20" s="14" t="n">
        <f aca="false">$C20*H20</f>
        <v>0</v>
      </c>
      <c r="W20" s="14" t="n">
        <f aca="false">$C20*I20</f>
        <v>0</v>
      </c>
      <c r="X20" s="14" t="n">
        <f aca="false">$C20*J20</f>
        <v>0</v>
      </c>
      <c r="Y20" s="14" t="n">
        <f aca="false">$C20*K20</f>
        <v>0</v>
      </c>
      <c r="Z20" s="14" t="n">
        <f aca="false">$C20*L20</f>
        <v>0</v>
      </c>
      <c r="AA20" s="14" t="n">
        <f aca="false">$C20*M20</f>
        <v>0</v>
      </c>
      <c r="AB20" s="14" t="n">
        <f aca="false">$C20*N20</f>
        <v>1480</v>
      </c>
      <c r="AC20" s="14" t="n">
        <f aca="false">$C20*O20</f>
        <v>2220</v>
      </c>
      <c r="AD20" s="14" t="n">
        <f aca="false">$C20*P20</f>
        <v>0</v>
      </c>
      <c r="AE20" s="14" t="n">
        <f aca="false">$C20*Q20</f>
        <v>0</v>
      </c>
      <c r="AF20" s="14" t="n">
        <f aca="false">$C20*R20</f>
        <v>0</v>
      </c>
    </row>
    <row r="21" customFormat="false" ht="15" hidden="false" customHeight="false" outlineLevel="0" collapsed="false">
      <c r="A21" s="6" t="s">
        <v>14</v>
      </c>
      <c r="B21" s="6" t="s">
        <v>109</v>
      </c>
      <c r="C21" s="22" t="n">
        <v>79</v>
      </c>
      <c r="D21" s="6" t="s">
        <v>161</v>
      </c>
      <c r="E21" s="16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4</v>
      </c>
      <c r="P21" s="16" t="n">
        <v>7</v>
      </c>
      <c r="Q21" s="16" t="n">
        <v>4</v>
      </c>
      <c r="R21" s="16" t="n">
        <v>0</v>
      </c>
      <c r="S21" s="14" t="n">
        <f aca="false">$C21*E21</f>
        <v>0</v>
      </c>
      <c r="T21" s="14" t="n">
        <f aca="false">$C21*F21</f>
        <v>0</v>
      </c>
      <c r="U21" s="14" t="n">
        <f aca="false">$C21*G21</f>
        <v>0</v>
      </c>
      <c r="V21" s="14" t="n">
        <f aca="false">$C21*H21</f>
        <v>0</v>
      </c>
      <c r="W21" s="14" t="n">
        <f aca="false">$C21*I21</f>
        <v>0</v>
      </c>
      <c r="X21" s="14" t="n">
        <f aca="false">$C21*J21</f>
        <v>0</v>
      </c>
      <c r="Y21" s="14" t="n">
        <f aca="false">$C21*K21</f>
        <v>0</v>
      </c>
      <c r="Z21" s="14" t="n">
        <f aca="false">$C21*L21</f>
        <v>0</v>
      </c>
      <c r="AA21" s="14" t="n">
        <f aca="false">$C21*M21</f>
        <v>0</v>
      </c>
      <c r="AB21" s="14" t="n">
        <f aca="false">$C21*N21</f>
        <v>0</v>
      </c>
      <c r="AC21" s="14" t="n">
        <f aca="false">$C21*O21</f>
        <v>316</v>
      </c>
      <c r="AD21" s="14" t="n">
        <f aca="false">$C21*P21</f>
        <v>553</v>
      </c>
      <c r="AE21" s="14" t="n">
        <f aca="false">$C21*Q21</f>
        <v>316</v>
      </c>
      <c r="AF21" s="14" t="n">
        <f aca="false">$C21*R21</f>
        <v>0</v>
      </c>
    </row>
    <row r="22" customFormat="false" ht="15" hidden="false" customHeight="false" outlineLevel="0" collapsed="false">
      <c r="A22" s="6" t="s">
        <v>16</v>
      </c>
      <c r="B22" s="6" t="s">
        <v>140</v>
      </c>
      <c r="C22" s="22" t="n">
        <v>20</v>
      </c>
      <c r="D22" s="6"/>
      <c r="E22" s="16" t="n">
        <v>125</v>
      </c>
      <c r="F22" s="16" t="n">
        <v>0</v>
      </c>
      <c r="G22" s="16" t="n">
        <v>0</v>
      </c>
      <c r="H22" s="16" t="n">
        <v>55</v>
      </c>
      <c r="I22" s="16" t="n">
        <v>75</v>
      </c>
      <c r="J22" s="16" t="n">
        <v>3</v>
      </c>
      <c r="K22" s="16" t="n">
        <v>4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0</v>
      </c>
      <c r="Q22" s="16" t="n">
        <v>0</v>
      </c>
      <c r="R22" s="16" t="n">
        <v>0</v>
      </c>
      <c r="S22" s="14" t="n">
        <f aca="false">$C22*E22</f>
        <v>2500</v>
      </c>
      <c r="T22" s="14" t="n">
        <f aca="false">$C22*F22</f>
        <v>0</v>
      </c>
      <c r="U22" s="14" t="n">
        <f aca="false">$C22*G22</f>
        <v>0</v>
      </c>
      <c r="V22" s="14" t="n">
        <f aca="false">$C22*H22</f>
        <v>1100</v>
      </c>
      <c r="W22" s="14" t="n">
        <f aca="false">$C22*I22</f>
        <v>1500</v>
      </c>
      <c r="X22" s="14" t="n">
        <f aca="false">$C22*J22</f>
        <v>60</v>
      </c>
      <c r="Y22" s="14" t="n">
        <f aca="false">$C22*K22</f>
        <v>80</v>
      </c>
      <c r="Z22" s="14" t="n">
        <f aca="false">$C22*L22</f>
        <v>0</v>
      </c>
      <c r="AA22" s="14" t="n">
        <f aca="false">$C22*M22</f>
        <v>0</v>
      </c>
      <c r="AB22" s="14" t="n">
        <f aca="false">$C22*N22</f>
        <v>0</v>
      </c>
      <c r="AC22" s="14" t="n">
        <f aca="false">$C22*O22</f>
        <v>0</v>
      </c>
      <c r="AD22" s="14" t="n">
        <f aca="false">$C22*P22</f>
        <v>0</v>
      </c>
      <c r="AE22" s="14" t="n">
        <f aca="false">$C22*Q22</f>
        <v>0</v>
      </c>
      <c r="AF22" s="14" t="n">
        <f aca="false">$C22*R22</f>
        <v>0</v>
      </c>
    </row>
    <row r="23" customFormat="false" ht="15" hidden="false" customHeight="false" outlineLevel="0" collapsed="false">
      <c r="A23" s="6" t="s">
        <v>16</v>
      </c>
      <c r="B23" s="6" t="s">
        <v>141</v>
      </c>
      <c r="C23" s="22" t="n">
        <v>20</v>
      </c>
      <c r="D23" s="6" t="s">
        <v>161</v>
      </c>
      <c r="E23" s="16" t="n">
        <v>500</v>
      </c>
      <c r="F23" s="16" t="n">
        <v>100</v>
      </c>
      <c r="G23" s="16" t="n">
        <v>0</v>
      </c>
      <c r="H23" s="16" t="n">
        <v>90</v>
      </c>
      <c r="I23" s="16" t="n">
        <v>0</v>
      </c>
      <c r="J23" s="16" t="n">
        <v>0</v>
      </c>
      <c r="K23" s="16" t="n">
        <v>0</v>
      </c>
      <c r="L23" s="16" t="n">
        <v>70</v>
      </c>
      <c r="M23" s="16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R23" s="16" t="n">
        <v>0</v>
      </c>
      <c r="S23" s="14" t="n">
        <f aca="false">$C23*E23</f>
        <v>10000</v>
      </c>
      <c r="T23" s="14" t="n">
        <f aca="false">$C23*F23</f>
        <v>2000</v>
      </c>
      <c r="U23" s="14" t="n">
        <f aca="false">$C23*G23</f>
        <v>0</v>
      </c>
      <c r="V23" s="14" t="n">
        <f aca="false">$C23*H23</f>
        <v>1800</v>
      </c>
      <c r="W23" s="14" t="n">
        <f aca="false">$C23*I23</f>
        <v>0</v>
      </c>
      <c r="X23" s="14" t="n">
        <f aca="false">$C23*J23</f>
        <v>0</v>
      </c>
      <c r="Y23" s="14" t="n">
        <f aca="false">$C23*K23</f>
        <v>0</v>
      </c>
      <c r="Z23" s="14" t="n">
        <f aca="false">$C23*L23</f>
        <v>1400</v>
      </c>
      <c r="AA23" s="14" t="n">
        <f aca="false">$C23*M23</f>
        <v>0</v>
      </c>
      <c r="AB23" s="14" t="n">
        <f aca="false">$C23*N23</f>
        <v>0</v>
      </c>
      <c r="AC23" s="14" t="n">
        <f aca="false">$C23*O23</f>
        <v>0</v>
      </c>
      <c r="AD23" s="14" t="n">
        <f aca="false">$C23*P23</f>
        <v>0</v>
      </c>
      <c r="AE23" s="14" t="n">
        <f aca="false">$C23*Q23</f>
        <v>0</v>
      </c>
      <c r="AF23" s="14" t="n">
        <f aca="false">$C23*R23</f>
        <v>0</v>
      </c>
    </row>
    <row r="24" customFormat="false" ht="15" hidden="false" customHeight="false" outlineLevel="0" collapsed="false">
      <c r="A24" s="6" t="s">
        <v>16</v>
      </c>
      <c r="B24" s="6" t="s">
        <v>143</v>
      </c>
      <c r="C24" s="22" t="n">
        <v>2</v>
      </c>
      <c r="D24" s="6"/>
      <c r="E24" s="16" t="n">
        <v>2400</v>
      </c>
      <c r="F24" s="16" t="n">
        <v>0</v>
      </c>
      <c r="G24" s="16" t="n">
        <v>0</v>
      </c>
      <c r="H24" s="16" t="n">
        <v>500</v>
      </c>
      <c r="I24" s="16" t="n">
        <v>250</v>
      </c>
      <c r="J24" s="16" t="n">
        <v>30</v>
      </c>
      <c r="K24" s="16" t="n">
        <v>120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R24" s="16" t="n">
        <v>0</v>
      </c>
      <c r="S24" s="14" t="n">
        <f aca="false">$C24*E24</f>
        <v>4800</v>
      </c>
      <c r="T24" s="14" t="n">
        <f aca="false">$C24*F24</f>
        <v>0</v>
      </c>
      <c r="U24" s="14" t="n">
        <f aca="false">$C24*G24</f>
        <v>0</v>
      </c>
      <c r="V24" s="14" t="n">
        <f aca="false">$C24*H24</f>
        <v>1000</v>
      </c>
      <c r="W24" s="14" t="n">
        <f aca="false">$C24*I24</f>
        <v>500</v>
      </c>
      <c r="X24" s="14" t="n">
        <f aca="false">$C24*J24</f>
        <v>60</v>
      </c>
      <c r="Y24" s="14" t="n">
        <f aca="false">$C24*K24</f>
        <v>240</v>
      </c>
      <c r="Z24" s="14" t="n">
        <f aca="false">$C24*L24</f>
        <v>0</v>
      </c>
      <c r="AA24" s="14" t="n">
        <f aca="false">$C24*M24</f>
        <v>0</v>
      </c>
      <c r="AB24" s="14" t="n">
        <f aca="false">$C24*N24</f>
        <v>0</v>
      </c>
      <c r="AC24" s="14" t="n">
        <f aca="false">$C24*O24</f>
        <v>0</v>
      </c>
      <c r="AD24" s="14" t="n">
        <f aca="false">$C24*P24</f>
        <v>0</v>
      </c>
      <c r="AE24" s="14" t="n">
        <f aca="false">$C24*Q24</f>
        <v>0</v>
      </c>
      <c r="AF24" s="14" t="n">
        <f aca="false">$C24*R24</f>
        <v>0</v>
      </c>
    </row>
    <row r="25" customFormat="false" ht="15" hidden="false" customHeight="false" outlineLevel="0" collapsed="false">
      <c r="A25" s="6" t="s">
        <v>16</v>
      </c>
      <c r="B25" s="6" t="s">
        <v>144</v>
      </c>
      <c r="C25" s="22" t="n">
        <v>2</v>
      </c>
      <c r="D25" s="6" t="s">
        <v>161</v>
      </c>
      <c r="E25" s="16" t="n">
        <v>0</v>
      </c>
      <c r="F25" s="16" t="n">
        <v>0</v>
      </c>
      <c r="G25" s="16" t="n">
        <v>0</v>
      </c>
      <c r="H25" s="16" t="n">
        <v>0</v>
      </c>
      <c r="I25" s="16" t="n">
        <v>0</v>
      </c>
      <c r="J25" s="16" t="n">
        <v>0</v>
      </c>
      <c r="K25" s="16" t="n">
        <v>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4" t="n">
        <f aca="false">$C25*E25</f>
        <v>0</v>
      </c>
      <c r="T25" s="14" t="n">
        <f aca="false">$C25*F25</f>
        <v>0</v>
      </c>
      <c r="U25" s="14" t="n">
        <f aca="false">$C25*G25</f>
        <v>0</v>
      </c>
      <c r="V25" s="14" t="n">
        <f aca="false">$C25*H25</f>
        <v>0</v>
      </c>
      <c r="W25" s="14" t="n">
        <f aca="false">$C25*I25</f>
        <v>0</v>
      </c>
      <c r="X25" s="14" t="n">
        <f aca="false">$C25*J25</f>
        <v>0</v>
      </c>
      <c r="Y25" s="14" t="n">
        <f aca="false">$C25*K25</f>
        <v>0</v>
      </c>
      <c r="Z25" s="14" t="n">
        <f aca="false">$C25*L25</f>
        <v>0</v>
      </c>
      <c r="AA25" s="14" t="n">
        <f aca="false">$C25*M25</f>
        <v>0</v>
      </c>
      <c r="AB25" s="14" t="n">
        <f aca="false">$C25*N25</f>
        <v>0</v>
      </c>
      <c r="AC25" s="14" t="n">
        <f aca="false">$C25*O25</f>
        <v>0</v>
      </c>
      <c r="AD25" s="14" t="n">
        <f aca="false">$C25*P25</f>
        <v>0</v>
      </c>
      <c r="AE25" s="14" t="n">
        <f aca="false">$C25*Q25</f>
        <v>0</v>
      </c>
      <c r="AF25" s="14" t="n">
        <f aca="false">$C25*R25</f>
        <v>0</v>
      </c>
    </row>
    <row r="26" customFormat="false" ht="15" hidden="false" customHeight="false" outlineLevel="0" collapsed="false">
      <c r="A26" s="6" t="s">
        <v>16</v>
      </c>
      <c r="B26" s="6" t="s">
        <v>145</v>
      </c>
      <c r="C26" s="22" t="n">
        <v>1</v>
      </c>
      <c r="D26" s="6"/>
      <c r="E26" s="16" t="n">
        <v>5000</v>
      </c>
      <c r="F26" s="16" t="n">
        <v>0</v>
      </c>
      <c r="G26" s="16" t="n">
        <v>0</v>
      </c>
      <c r="H26" s="16" t="n">
        <v>800</v>
      </c>
      <c r="I26" s="16" t="n">
        <v>600</v>
      </c>
      <c r="J26" s="16" t="n">
        <v>100</v>
      </c>
      <c r="K26" s="16" t="n">
        <v>150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0</v>
      </c>
      <c r="Q26" s="16" t="n">
        <v>0</v>
      </c>
      <c r="R26" s="16" t="n">
        <v>0</v>
      </c>
      <c r="S26" s="14" t="n">
        <f aca="false">$C26*E26</f>
        <v>5000</v>
      </c>
      <c r="T26" s="14" t="n">
        <f aca="false">$C26*F26</f>
        <v>0</v>
      </c>
      <c r="U26" s="14" t="n">
        <f aca="false">$C26*G26</f>
        <v>0</v>
      </c>
      <c r="V26" s="14" t="n">
        <f aca="false">$C26*H26</f>
        <v>800</v>
      </c>
      <c r="W26" s="14" t="n">
        <f aca="false">$C26*I26</f>
        <v>600</v>
      </c>
      <c r="X26" s="14" t="n">
        <f aca="false">$C26*J26</f>
        <v>100</v>
      </c>
      <c r="Y26" s="14" t="n">
        <f aca="false">$C26*K26</f>
        <v>150</v>
      </c>
      <c r="Z26" s="14" t="n">
        <f aca="false">$C26*L26</f>
        <v>0</v>
      </c>
      <c r="AA26" s="14" t="n">
        <f aca="false">$C26*M26</f>
        <v>0</v>
      </c>
      <c r="AB26" s="14" t="n">
        <f aca="false">$C26*N26</f>
        <v>0</v>
      </c>
      <c r="AC26" s="14" t="n">
        <f aca="false">$C26*O26</f>
        <v>0</v>
      </c>
      <c r="AD26" s="14" t="n">
        <f aca="false">$C26*P26</f>
        <v>0</v>
      </c>
      <c r="AE26" s="14" t="n">
        <f aca="false">$C26*Q26</f>
        <v>0</v>
      </c>
      <c r="AF26" s="14" t="n">
        <f aca="false">$C26*R26</f>
        <v>0</v>
      </c>
    </row>
    <row r="27" customFormat="false" ht="15" hidden="false" customHeight="false" outlineLevel="0" collapsed="false">
      <c r="A27" s="6" t="s">
        <v>16</v>
      </c>
      <c r="B27" s="6" t="s">
        <v>146</v>
      </c>
      <c r="C27" s="22" t="n">
        <v>1</v>
      </c>
      <c r="D27" s="6"/>
      <c r="E27" s="16" t="n">
        <v>3250</v>
      </c>
      <c r="F27" s="16" t="n">
        <v>600</v>
      </c>
      <c r="G27" s="16" t="n">
        <v>200</v>
      </c>
      <c r="H27" s="16" t="n">
        <v>1000</v>
      </c>
      <c r="I27" s="16" t="n">
        <v>500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R27" s="16" t="n">
        <v>0</v>
      </c>
      <c r="S27" s="14" t="n">
        <f aca="false">$C27*E27</f>
        <v>3250</v>
      </c>
      <c r="T27" s="14" t="n">
        <f aca="false">$C27*F27</f>
        <v>600</v>
      </c>
      <c r="U27" s="14" t="n">
        <f aca="false">$C27*G27</f>
        <v>200</v>
      </c>
      <c r="V27" s="14" t="n">
        <f aca="false">$C27*H27</f>
        <v>1000</v>
      </c>
      <c r="W27" s="14" t="n">
        <f aca="false">$C27*I27</f>
        <v>500</v>
      </c>
      <c r="X27" s="14" t="n">
        <f aca="false">$C27*J27</f>
        <v>0</v>
      </c>
      <c r="Y27" s="14" t="n">
        <f aca="false">$C27*K27</f>
        <v>0</v>
      </c>
      <c r="Z27" s="14" t="n">
        <f aca="false">$C27*L27</f>
        <v>0</v>
      </c>
      <c r="AA27" s="14" t="n">
        <f aca="false">$C27*M27</f>
        <v>0</v>
      </c>
      <c r="AB27" s="14" t="n">
        <f aca="false">$C27*N27</f>
        <v>0</v>
      </c>
      <c r="AC27" s="14" t="n">
        <f aca="false">$C27*O27</f>
        <v>0</v>
      </c>
      <c r="AD27" s="14" t="n">
        <f aca="false">$C27*P27</f>
        <v>0</v>
      </c>
      <c r="AE27" s="14" t="n">
        <f aca="false">$C27*Q27</f>
        <v>0</v>
      </c>
      <c r="AF27" s="14" t="n">
        <f aca="false">$C27*R27</f>
        <v>0</v>
      </c>
    </row>
    <row r="28" customFormat="false" ht="15" hidden="false" customHeight="false" outlineLevel="0" collapsed="false">
      <c r="A28" s="6" t="s">
        <v>16</v>
      </c>
      <c r="B28" s="6" t="s">
        <v>147</v>
      </c>
      <c r="C28" s="22" t="n">
        <v>1</v>
      </c>
      <c r="D28" s="6"/>
      <c r="E28" s="16" t="n">
        <v>450</v>
      </c>
      <c r="F28" s="16" t="n">
        <v>300</v>
      </c>
      <c r="G28" s="16" t="n">
        <v>20</v>
      </c>
      <c r="H28" s="16" t="n">
        <v>150</v>
      </c>
      <c r="I28" s="16" t="n">
        <v>250</v>
      </c>
      <c r="J28" s="16" t="n">
        <v>0</v>
      </c>
      <c r="K28" s="16" t="n">
        <v>0</v>
      </c>
      <c r="L28" s="16" t="n">
        <v>0</v>
      </c>
      <c r="M28" s="16" t="n">
        <v>100</v>
      </c>
      <c r="N28" s="16" t="n">
        <v>0</v>
      </c>
      <c r="O28" s="16" t="n">
        <v>0</v>
      </c>
      <c r="P28" s="16" t="n">
        <v>0</v>
      </c>
      <c r="Q28" s="16" t="n">
        <v>0</v>
      </c>
      <c r="R28" s="16" t="n">
        <v>0</v>
      </c>
      <c r="S28" s="14" t="n">
        <f aca="false">$C28*E28</f>
        <v>450</v>
      </c>
      <c r="T28" s="14" t="n">
        <f aca="false">$C28*F28</f>
        <v>300</v>
      </c>
      <c r="U28" s="14" t="n">
        <f aca="false">$C28*G28</f>
        <v>20</v>
      </c>
      <c r="V28" s="14" t="n">
        <f aca="false">$C28*H28</f>
        <v>150</v>
      </c>
      <c r="W28" s="14" t="n">
        <f aca="false">$C28*I28</f>
        <v>250</v>
      </c>
      <c r="X28" s="14" t="n">
        <f aca="false">$C28*J28</f>
        <v>0</v>
      </c>
      <c r="Y28" s="14" t="n">
        <f aca="false">$C28*K28</f>
        <v>0</v>
      </c>
      <c r="Z28" s="14" t="n">
        <f aca="false">$C28*L28</f>
        <v>0</v>
      </c>
      <c r="AA28" s="14" t="n">
        <f aca="false">$C28*M28</f>
        <v>100</v>
      </c>
      <c r="AB28" s="14" t="n">
        <f aca="false">$C28*N28</f>
        <v>0</v>
      </c>
      <c r="AC28" s="14" t="n">
        <f aca="false">$C28*O28</f>
        <v>0</v>
      </c>
      <c r="AD28" s="14" t="n">
        <f aca="false">$C28*P28</f>
        <v>0</v>
      </c>
      <c r="AE28" s="14" t="n">
        <f aca="false">$C28*Q28</f>
        <v>0</v>
      </c>
      <c r="AF28" s="14" t="n">
        <f aca="false">$C28*R28</f>
        <v>0</v>
      </c>
    </row>
    <row r="29" customFormat="false" ht="15" hidden="false" customHeight="false" outlineLevel="0" collapsed="false">
      <c r="A29" s="6" t="s">
        <v>18</v>
      </c>
      <c r="B29" s="6" t="s">
        <v>162</v>
      </c>
      <c r="C29" s="22" t="n">
        <v>49</v>
      </c>
      <c r="D29" s="6"/>
      <c r="E29" s="16" t="n">
        <v>540</v>
      </c>
      <c r="F29" s="16" t="n">
        <v>200</v>
      </c>
      <c r="G29" s="16" t="n">
        <v>270</v>
      </c>
      <c r="H29" s="16" t="n">
        <v>70</v>
      </c>
      <c r="I29" s="16" t="n">
        <v>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4" t="n">
        <f aca="false">$C29*E29</f>
        <v>26460</v>
      </c>
      <c r="T29" s="14" t="n">
        <f aca="false">$C29*F29</f>
        <v>9800</v>
      </c>
      <c r="U29" s="14" t="n">
        <f aca="false">$C29*G29</f>
        <v>13230</v>
      </c>
      <c r="V29" s="14" t="n">
        <f aca="false">$C29*H29</f>
        <v>3430</v>
      </c>
      <c r="W29" s="14" t="n">
        <f aca="false">$C29*I29</f>
        <v>0</v>
      </c>
      <c r="X29" s="14" t="n">
        <f aca="false">$C29*J29</f>
        <v>0</v>
      </c>
      <c r="Y29" s="14" t="n">
        <f aca="false">$C29*K29</f>
        <v>0</v>
      </c>
      <c r="Z29" s="14" t="n">
        <f aca="false">$C29*L29</f>
        <v>0</v>
      </c>
      <c r="AA29" s="14" t="n">
        <f aca="false">$C29*M29</f>
        <v>0</v>
      </c>
      <c r="AB29" s="14" t="n">
        <f aca="false">$C29*N29</f>
        <v>0</v>
      </c>
      <c r="AC29" s="14" t="n">
        <f aca="false">$C29*O29</f>
        <v>0</v>
      </c>
      <c r="AD29" s="14" t="n">
        <f aca="false">$C29*P29</f>
        <v>0</v>
      </c>
      <c r="AE29" s="14" t="n">
        <f aca="false">$C29*Q29</f>
        <v>0</v>
      </c>
      <c r="AF29" s="14" t="n">
        <f aca="false">$C29*R29</f>
        <v>0</v>
      </c>
    </row>
    <row r="30" customFormat="false" ht="15" hidden="false" customHeight="false" outlineLevel="0" collapsed="false">
      <c r="A30" s="6" t="s">
        <v>18</v>
      </c>
      <c r="B30" s="6" t="s">
        <v>163</v>
      </c>
      <c r="C30" s="22" t="n">
        <v>26</v>
      </c>
      <c r="D30" s="6"/>
      <c r="E30" s="16" t="n">
        <v>100</v>
      </c>
      <c r="F30" s="16" t="n">
        <v>50</v>
      </c>
      <c r="G30" s="16" t="n">
        <v>100</v>
      </c>
      <c r="H30" s="16" t="n">
        <v>50</v>
      </c>
      <c r="I30" s="16" t="n">
        <v>0</v>
      </c>
      <c r="J30" s="16" t="n">
        <v>3</v>
      </c>
      <c r="K30" s="16" t="n">
        <v>0</v>
      </c>
      <c r="L30" s="16" t="n">
        <v>0</v>
      </c>
      <c r="M30" s="16" t="n">
        <v>0</v>
      </c>
      <c r="N30" s="16" t="n">
        <v>0</v>
      </c>
      <c r="O30" s="16" t="n">
        <v>0</v>
      </c>
      <c r="P30" s="16" t="n">
        <v>0</v>
      </c>
      <c r="Q30" s="16" t="n">
        <v>0</v>
      </c>
      <c r="R30" s="16" t="n">
        <v>0</v>
      </c>
      <c r="S30" s="14" t="n">
        <f aca="false">$C30*E30</f>
        <v>2600</v>
      </c>
      <c r="T30" s="14" t="n">
        <f aca="false">$C30*F30</f>
        <v>1300</v>
      </c>
      <c r="U30" s="14" t="n">
        <f aca="false">$C30*G30</f>
        <v>2600</v>
      </c>
      <c r="V30" s="14" t="n">
        <f aca="false">$C30*H30</f>
        <v>1300</v>
      </c>
      <c r="W30" s="14" t="n">
        <f aca="false">$C30*I30</f>
        <v>0</v>
      </c>
      <c r="X30" s="14" t="n">
        <f aca="false">$C30*J30</f>
        <v>78</v>
      </c>
      <c r="Y30" s="14" t="n">
        <f aca="false">$C30*K30</f>
        <v>0</v>
      </c>
      <c r="Z30" s="14" t="n">
        <f aca="false">$C30*L30</f>
        <v>0</v>
      </c>
      <c r="AA30" s="14" t="n">
        <f aca="false">$C30*M30</f>
        <v>0</v>
      </c>
      <c r="AB30" s="14" t="n">
        <f aca="false">$C30*N30</f>
        <v>0</v>
      </c>
      <c r="AC30" s="14" t="n">
        <f aca="false">$C30*O30</f>
        <v>0</v>
      </c>
      <c r="AD30" s="14" t="n">
        <f aca="false">$C30*P30</f>
        <v>0</v>
      </c>
      <c r="AE30" s="14" t="n">
        <f aca="false">$C30*Q30</f>
        <v>0</v>
      </c>
      <c r="AF30" s="14" t="n">
        <f aca="false">$C30*R30</f>
        <v>0</v>
      </c>
    </row>
    <row r="31" customFormat="false" ht="15" hidden="false" customHeight="false" outlineLevel="0" collapsed="false">
      <c r="A31" s="6" t="s">
        <v>18</v>
      </c>
      <c r="B31" s="6" t="s">
        <v>164</v>
      </c>
      <c r="C31" s="22" t="n">
        <v>10</v>
      </c>
      <c r="D31" s="6"/>
      <c r="E31" s="16" t="n">
        <v>500</v>
      </c>
      <c r="F31" s="16" t="n">
        <v>0</v>
      </c>
      <c r="G31" s="16" t="n">
        <v>100</v>
      </c>
      <c r="H31" s="16" t="n">
        <v>300</v>
      </c>
      <c r="I31" s="16" t="n">
        <v>200</v>
      </c>
      <c r="J31" s="16" t="n">
        <v>0</v>
      </c>
      <c r="K31" s="16" t="n">
        <v>0</v>
      </c>
      <c r="L31" s="16" t="n">
        <v>0</v>
      </c>
      <c r="M31" s="16" t="n">
        <v>0</v>
      </c>
      <c r="N31" s="16" t="n">
        <v>0</v>
      </c>
      <c r="O31" s="16" t="n">
        <v>0</v>
      </c>
      <c r="P31" s="16" t="n">
        <v>0</v>
      </c>
      <c r="Q31" s="16" t="n">
        <v>0</v>
      </c>
      <c r="R31" s="16" t="n">
        <v>0</v>
      </c>
      <c r="S31" s="14" t="n">
        <f aca="false">$C31*E31</f>
        <v>5000</v>
      </c>
      <c r="T31" s="14" t="n">
        <f aca="false">$C31*F31</f>
        <v>0</v>
      </c>
      <c r="U31" s="14" t="n">
        <f aca="false">$C31*G31</f>
        <v>1000</v>
      </c>
      <c r="V31" s="14" t="n">
        <f aca="false">$C31*H31</f>
        <v>3000</v>
      </c>
      <c r="W31" s="14" t="n">
        <f aca="false">$C31*I31</f>
        <v>2000</v>
      </c>
      <c r="X31" s="14" t="n">
        <f aca="false">$C31*J31</f>
        <v>0</v>
      </c>
      <c r="Y31" s="14" t="n">
        <f aca="false">$C31*K31</f>
        <v>0</v>
      </c>
      <c r="Z31" s="14" t="n">
        <f aca="false">$C31*L31</f>
        <v>0</v>
      </c>
      <c r="AA31" s="14" t="n">
        <f aca="false">$C31*M31</f>
        <v>0</v>
      </c>
      <c r="AB31" s="14" t="n">
        <f aca="false">$C31*N31</f>
        <v>0</v>
      </c>
      <c r="AC31" s="14" t="n">
        <f aca="false">$C31*O31</f>
        <v>0</v>
      </c>
      <c r="AD31" s="14" t="n">
        <f aca="false">$C31*P31</f>
        <v>0</v>
      </c>
      <c r="AE31" s="14" t="n">
        <f aca="false">$C31*Q31</f>
        <v>0</v>
      </c>
      <c r="AF31" s="14" t="n">
        <f aca="false">$C31*R31</f>
        <v>0</v>
      </c>
    </row>
    <row r="32" customFormat="false" ht="15" hidden="false" customHeight="false" outlineLevel="0" collapsed="false">
      <c r="A32" s="8" t="s">
        <v>165</v>
      </c>
      <c r="B32" s="17"/>
      <c r="C32" s="8" t="n">
        <f aca="false">SUM(C5:C31)</f>
        <v>5552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9" t="n">
        <f aca="false">SUM(S5:S31)</f>
        <v>177679</v>
      </c>
      <c r="T32" s="9" t="n">
        <f aca="false">SUM(T5:T31)</f>
        <v>47589</v>
      </c>
      <c r="U32" s="9" t="n">
        <f aca="false">SUM(U5:U31)</f>
        <v>17050</v>
      </c>
      <c r="V32" s="9" t="n">
        <f aca="false">SUM(V5:V31)</f>
        <v>13580</v>
      </c>
      <c r="W32" s="9" t="n">
        <f aca="false">SUM(W5:W31)</f>
        <v>5350</v>
      </c>
      <c r="X32" s="9" t="n">
        <f aca="false">SUM(X5:X31)</f>
        <v>298</v>
      </c>
      <c r="Y32" s="9" t="n">
        <f aca="false">SUM(Y5:Y31)</f>
        <v>470</v>
      </c>
      <c r="Z32" s="9" t="n">
        <f aca="false">SUM(Z5:Z31)</f>
        <v>1400</v>
      </c>
      <c r="AA32" s="9" t="n">
        <f aca="false">SUM(AA5:AA31)</f>
        <v>100</v>
      </c>
      <c r="AB32" s="9" t="n">
        <f aca="false">SUM(AB5:AB31)</f>
        <v>1480</v>
      </c>
      <c r="AC32" s="9" t="n">
        <f aca="false">SUM(AC5:AC31)</f>
        <v>3076</v>
      </c>
      <c r="AD32" s="9" t="n">
        <f aca="false">SUM(AD5:AD31)</f>
        <v>1123</v>
      </c>
      <c r="AE32" s="9" t="n">
        <f aca="false">SUM(AE5:AE31)</f>
        <v>676</v>
      </c>
      <c r="AF32" s="9" t="n">
        <f aca="false">SUM(AF5:AF31)</f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6" min="2" style="0" width="11"/>
  </cols>
  <sheetData>
    <row r="1" customFormat="false" ht="17.35" hidden="false" customHeight="false" outlineLevel="0" collapsed="false">
      <c r="A1" s="1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5" hidden="false" customHeight="false" outlineLevel="0" collapsed="false">
      <c r="A4" s="4" t="s">
        <v>168</v>
      </c>
      <c r="B4" s="23" t="n">
        <f aca="false">INDEX(Détail!$E$5:$E$31,MATCH("Pilier fin métal (Thin Pillar)",Détail!$B$5:$B$31,0))</f>
        <v>13</v>
      </c>
      <c r="C4" s="23" t="n">
        <f aca="false">INDEX(Détail!$E$5:$E$31,MATCH("Rampe inclinée métal (Sloped Railing)",Détail!$B$5:$B$31,0))</f>
        <v>12</v>
      </c>
      <c r="D4" s="23" t="n">
        <f aca="false">INDEX(Détail!$E$5:$E$31,MATCH("Fondation triangle métal",Détail!$B$5:$B$31,0))</f>
        <v>25</v>
      </c>
      <c r="E4" s="23" t="n">
        <f aca="false">INDEX(Détail!$E$5:$E$31,MATCH("Cadre de porte double métal",Détail!$B$5:$B$31,0))</f>
        <v>25</v>
      </c>
      <c r="F4" s="23" t="n">
        <f aca="false">INDEX(Détail!$E$5:$E$31,MATCH("Plafond triangle métal",Détail!$B$5:$B$31,0))</f>
        <v>18</v>
      </c>
      <c r="G4" s="23" t="n">
        <f aca="false">INDEX(Détail!$E$5:$E$31,MATCH("Mur métal",Détail!$B$5:$B$31,0))</f>
        <v>25</v>
      </c>
      <c r="H4" s="23" t="n">
        <f aca="false">INDEX(Détail!$E$5:$E$31,MATCH("Fondation métal",Détail!$B$5:$B$31,0))</f>
        <v>50</v>
      </c>
      <c r="I4" s="23" t="n">
        <f aca="false">INDEX(Détail!$E$5:$E$31,MATCH("Plafond métal",Détail!$B$5:$B$31,0))</f>
        <v>35</v>
      </c>
      <c r="J4" s="23" t="n">
        <f aca="false">INDEX(Détail!$E$5:$E$31,MATCH("Pilier métal",Détail!$B$5:$B$31,0))</f>
        <v>25</v>
      </c>
      <c r="K4" s="23" t="n">
        <f aca="false">INDEX(Détail!$E$5:$E$31,MATCH("Demi-pilier fin métal (Half Thin Pillar)",Détail!$B$5:$B$31,0))</f>
        <v>7</v>
      </c>
      <c r="L4" s="23" t="n">
        <f aca="false">INDEX(Détail!$E$5:$E$31,MATCH("Escalier métal",Détail!$B$5:$B$31,0))</f>
        <v>50</v>
      </c>
      <c r="M4" s="23" t="n">
        <f aca="false">INDEX(Détail!$E$5:$E$31,MATCH("Plafond à trappe métal",Détail!$B$5:$B$31,0))</f>
        <v>35</v>
      </c>
      <c r="N4" s="2"/>
      <c r="O4" s="2"/>
      <c r="P4" s="2"/>
    </row>
    <row r="5" customFormat="false" ht="15" hidden="false" customHeight="false" outlineLevel="0" collapsed="false">
      <c r="A5" s="4" t="s">
        <v>169</v>
      </c>
      <c r="B5" s="23" t="n">
        <f aca="false">INDEX(Détail!$F$5:$F$31,MATCH("Pilier fin métal (Thin Pillar)",Détail!$B$5:$B$31,0))</f>
        <v>4</v>
      </c>
      <c r="C5" s="23" t="n">
        <f aca="false">INDEX(Détail!$F$5:$F$31,MATCH("Rampe inclinée métal (Sloped Railing)",Détail!$B$5:$B$31,0))</f>
        <v>3</v>
      </c>
      <c r="D5" s="23" t="n">
        <f aca="false">INDEX(Détail!$F$5:$F$31,MATCH("Fondation triangle métal",Détail!$B$5:$B$31,0))</f>
        <v>8</v>
      </c>
      <c r="E5" s="23" t="n">
        <f aca="false">INDEX(Détail!$F$5:$F$31,MATCH("Cadre de porte double métal",Détail!$B$5:$B$31,0))</f>
        <v>7</v>
      </c>
      <c r="F5" s="23" t="n">
        <f aca="false">INDEX(Détail!$F$5:$F$31,MATCH("Plafond triangle métal",Détail!$B$5:$B$31,0))</f>
        <v>5</v>
      </c>
      <c r="G5" s="23" t="n">
        <f aca="false">INDEX(Détail!$F$5:$F$31,MATCH("Mur métal",Détail!$B$5:$B$31,0))</f>
        <v>7</v>
      </c>
      <c r="H5" s="23" t="n">
        <f aca="false">INDEX(Détail!$F$5:$F$31,MATCH("Fondation métal",Détail!$B$5:$B$31,0))</f>
        <v>15</v>
      </c>
      <c r="I5" s="23" t="n">
        <f aca="false">INDEX(Détail!$F$5:$F$31,MATCH("Plafond métal",Détail!$B$5:$B$31,0))</f>
        <v>10</v>
      </c>
      <c r="J5" s="23" t="n">
        <f aca="false">INDEX(Détail!$F$5:$F$31,MATCH("Pilier métal",Détail!$B$5:$B$31,0))</f>
        <v>7</v>
      </c>
      <c r="K5" s="23" t="n">
        <f aca="false">INDEX(Détail!$F$5:$F$31,MATCH("Demi-pilier fin métal (Half Thin Pillar)",Détail!$B$5:$B$31,0))</f>
        <v>2</v>
      </c>
      <c r="L5" s="23" t="n">
        <f aca="false">INDEX(Détail!$F$5:$F$31,MATCH("Escalier métal",Détail!$B$5:$B$31,0))</f>
        <v>15</v>
      </c>
      <c r="M5" s="23" t="n">
        <f aca="false">INDEX(Détail!$F$5:$F$31,MATCH("Plafond à trappe métal",Détail!$B$5:$B$31,0))</f>
        <v>10</v>
      </c>
      <c r="N5" s="2"/>
      <c r="O5" s="2"/>
      <c r="P5" s="2"/>
    </row>
    <row r="6" customFormat="false" ht="54" hidden="false" customHeight="true" outlineLevel="0" collapsed="false">
      <c r="A6" s="24" t="s">
        <v>149</v>
      </c>
      <c r="B6" s="11" t="s">
        <v>107</v>
      </c>
      <c r="C6" s="11" t="s">
        <v>105</v>
      </c>
      <c r="D6" s="11" t="s">
        <v>97</v>
      </c>
      <c r="E6" s="11" t="s">
        <v>106</v>
      </c>
      <c r="F6" s="11" t="s">
        <v>115</v>
      </c>
      <c r="G6" s="11" t="s">
        <v>114</v>
      </c>
      <c r="H6" s="11" t="s">
        <v>98</v>
      </c>
      <c r="I6" s="11" t="s">
        <v>116</v>
      </c>
      <c r="J6" s="11" t="s">
        <v>102</v>
      </c>
      <c r="K6" s="11" t="s">
        <v>108</v>
      </c>
      <c r="L6" s="11" t="s">
        <v>117</v>
      </c>
      <c r="M6" s="11" t="s">
        <v>120</v>
      </c>
      <c r="N6" s="5" t="s">
        <v>170</v>
      </c>
      <c r="O6" s="5" t="s">
        <v>171</v>
      </c>
      <c r="P6" s="5" t="s">
        <v>172</v>
      </c>
    </row>
    <row r="7" customFormat="false" ht="15" hidden="false" customHeight="false" outlineLevel="0" collapsed="false">
      <c r="A7" s="12" t="s">
        <v>65</v>
      </c>
      <c r="B7" s="16" t="n">
        <v>0</v>
      </c>
      <c r="C7" s="16" t="n">
        <v>0</v>
      </c>
      <c r="D7" s="16" t="n">
        <v>684</v>
      </c>
      <c r="E7" s="16" t="n">
        <v>0</v>
      </c>
      <c r="F7" s="16" t="n">
        <v>0</v>
      </c>
      <c r="G7" s="16" t="n">
        <v>0</v>
      </c>
      <c r="H7" s="16" t="n">
        <v>344</v>
      </c>
      <c r="I7" s="16" t="n">
        <v>0</v>
      </c>
      <c r="J7" s="16" t="n">
        <v>0</v>
      </c>
      <c r="K7" s="16" t="n">
        <v>0</v>
      </c>
      <c r="L7" s="16" t="n">
        <v>0</v>
      </c>
      <c r="M7" s="16" t="n">
        <v>0</v>
      </c>
      <c r="N7" s="25" t="n">
        <f aca="false">SUM(B7:M7)</f>
        <v>1028</v>
      </c>
      <c r="O7" s="25" t="n">
        <f aca="false">SUMPRODUCT(B7:M7,B$4:M$4)</f>
        <v>34300</v>
      </c>
      <c r="P7" s="25" t="n">
        <f aca="false">SUMPRODUCT(B7:M7,B$5:M$5)</f>
        <v>10632</v>
      </c>
    </row>
    <row r="8" customFormat="false" ht="15" hidden="false" customHeight="false" outlineLevel="0" collapsed="false">
      <c r="A8" s="12" t="s">
        <v>100</v>
      </c>
      <c r="B8" s="16" t="n">
        <v>0</v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226</v>
      </c>
      <c r="K8" s="16" t="n">
        <v>0</v>
      </c>
      <c r="L8" s="16" t="n">
        <v>0</v>
      </c>
      <c r="M8" s="16" t="n">
        <v>0</v>
      </c>
      <c r="N8" s="25" t="n">
        <f aca="false">SUM(B8:M8)</f>
        <v>226</v>
      </c>
      <c r="O8" s="25" t="n">
        <f aca="false">SUMPRODUCT(B8:M8,B$4:M$4)</f>
        <v>5650</v>
      </c>
      <c r="P8" s="25" t="n">
        <f aca="false">SUMPRODUCT(B8:M8,B$5:M$5)</f>
        <v>1582</v>
      </c>
    </row>
    <row r="9" customFormat="false" ht="15" hidden="false" customHeight="false" outlineLevel="0" collapsed="false">
      <c r="A9" s="12" t="s">
        <v>103</v>
      </c>
      <c r="B9" s="16" t="n">
        <v>123</v>
      </c>
      <c r="C9" s="16" t="n">
        <v>262</v>
      </c>
      <c r="D9" s="16" t="n">
        <v>0</v>
      </c>
      <c r="E9" s="16" t="n">
        <v>204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43</v>
      </c>
      <c r="L9" s="16" t="n">
        <v>0</v>
      </c>
      <c r="M9" s="16" t="n">
        <v>0</v>
      </c>
      <c r="N9" s="25" t="n">
        <f aca="false">SUM(B9:M9)</f>
        <v>632</v>
      </c>
      <c r="O9" s="25" t="n">
        <f aca="false">SUMPRODUCT(B9:M9,B$4:M$4)</f>
        <v>10144</v>
      </c>
      <c r="P9" s="25" t="n">
        <f aca="false">SUMPRODUCT(B9:M9,B$5:M$5)</f>
        <v>2792</v>
      </c>
    </row>
    <row r="10" customFormat="false" ht="15" hidden="false" customHeight="false" outlineLevel="0" collapsed="false">
      <c r="A10" s="12" t="s">
        <v>110</v>
      </c>
      <c r="B10" s="16" t="n">
        <v>563</v>
      </c>
      <c r="C10" s="16" t="n">
        <v>208</v>
      </c>
      <c r="D10" s="16" t="n">
        <v>0</v>
      </c>
      <c r="E10" s="16" t="n">
        <v>33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6" t="n">
        <v>0</v>
      </c>
      <c r="L10" s="16" t="n">
        <v>0</v>
      </c>
      <c r="M10" s="16" t="n">
        <v>0</v>
      </c>
      <c r="N10" s="25" t="n">
        <f aca="false">SUM(B10:M10)</f>
        <v>804</v>
      </c>
      <c r="O10" s="25" t="n">
        <f aca="false">SUMPRODUCT(B10:M10,B$4:M$4)</f>
        <v>10640</v>
      </c>
      <c r="P10" s="25" t="n">
        <f aca="false">SUMPRODUCT(B10:M10,B$5:M$5)</f>
        <v>3107</v>
      </c>
    </row>
    <row r="11" customFormat="false" ht="15" hidden="false" customHeight="false" outlineLevel="0" collapsed="false">
      <c r="A11" s="12" t="s">
        <v>112</v>
      </c>
      <c r="B11" s="16" t="n">
        <v>0</v>
      </c>
      <c r="C11" s="16" t="n">
        <v>0</v>
      </c>
      <c r="D11" s="16" t="n">
        <v>0</v>
      </c>
      <c r="E11" s="16" t="n">
        <v>21</v>
      </c>
      <c r="F11" s="16" t="n">
        <v>170</v>
      </c>
      <c r="G11" s="16" t="n">
        <v>463</v>
      </c>
      <c r="H11" s="16" t="n">
        <v>0</v>
      </c>
      <c r="I11" s="16" t="n">
        <v>89</v>
      </c>
      <c r="J11" s="16" t="n">
        <v>216</v>
      </c>
      <c r="K11" s="16" t="n">
        <v>0</v>
      </c>
      <c r="L11" s="16" t="n">
        <v>6</v>
      </c>
      <c r="M11" s="16" t="n">
        <v>0</v>
      </c>
      <c r="N11" s="25" t="n">
        <f aca="false">SUM(B11:M11)</f>
        <v>965</v>
      </c>
      <c r="O11" s="25" t="n">
        <f aca="false">SUMPRODUCT(B11:M11,B$4:M$4)</f>
        <v>23975</v>
      </c>
      <c r="P11" s="25" t="n">
        <f aca="false">SUMPRODUCT(B11:M11,B$5:M$5)</f>
        <v>6730</v>
      </c>
    </row>
    <row r="12" customFormat="false" ht="15" hidden="false" customHeight="false" outlineLevel="0" collapsed="false">
      <c r="A12" s="12" t="s">
        <v>118</v>
      </c>
      <c r="B12" s="16" t="n">
        <v>53</v>
      </c>
      <c r="C12" s="16" t="n">
        <v>110</v>
      </c>
      <c r="D12" s="16" t="n">
        <v>0</v>
      </c>
      <c r="E12" s="16" t="n">
        <v>423</v>
      </c>
      <c r="F12" s="16" t="n">
        <v>285</v>
      </c>
      <c r="G12" s="16" t="n">
        <v>0</v>
      </c>
      <c r="H12" s="16" t="n">
        <v>0</v>
      </c>
      <c r="I12" s="16" t="n">
        <v>136</v>
      </c>
      <c r="J12" s="16" t="n">
        <v>0</v>
      </c>
      <c r="K12" s="16" t="n">
        <v>0</v>
      </c>
      <c r="L12" s="16" t="n">
        <v>0</v>
      </c>
      <c r="M12" s="16" t="n">
        <v>5</v>
      </c>
      <c r="N12" s="25" t="n">
        <f aca="false">SUM(B12:M12)</f>
        <v>1012</v>
      </c>
      <c r="O12" s="25" t="n">
        <f aca="false">SUMPRODUCT(B12:M12,B$4:M$4)</f>
        <v>22649</v>
      </c>
      <c r="P12" s="25" t="n">
        <f aca="false">SUMPRODUCT(B12:M12,B$5:M$5)</f>
        <v>6338</v>
      </c>
    </row>
    <row r="13" customFormat="false" ht="15" hidden="false" customHeight="false" outlineLevel="0" collapsed="false">
      <c r="A13" s="12" t="s">
        <v>121</v>
      </c>
      <c r="B13" s="16" t="n">
        <v>0</v>
      </c>
      <c r="C13" s="16" t="n">
        <v>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  <c r="I13" s="16" t="n">
        <v>0</v>
      </c>
      <c r="J13" s="16" t="n">
        <v>0</v>
      </c>
      <c r="K13" s="16" t="n">
        <v>0</v>
      </c>
      <c r="L13" s="16" t="n">
        <v>0</v>
      </c>
      <c r="M13" s="16" t="n">
        <v>0</v>
      </c>
      <c r="N13" s="25" t="n">
        <f aca="false">SUM(B13:M13)</f>
        <v>0</v>
      </c>
      <c r="O13" s="25" t="n">
        <f aca="false">SUMPRODUCT(B13:M13,B$4:M$4)</f>
        <v>0</v>
      </c>
      <c r="P13" s="25" t="n">
        <f aca="false">SUMPRODUCT(B13:M13,B$5:M$5)</f>
        <v>0</v>
      </c>
    </row>
    <row r="14" customFormat="false" ht="15" hidden="false" customHeight="false" outlineLevel="0" collapsed="false">
      <c r="A14" s="12" t="s">
        <v>127</v>
      </c>
      <c r="B14" s="16" t="n">
        <v>0</v>
      </c>
      <c r="C14" s="16" t="n">
        <v>0</v>
      </c>
      <c r="D14" s="16" t="n">
        <v>0</v>
      </c>
      <c r="E14" s="16" t="n">
        <v>0</v>
      </c>
      <c r="F14" s="16" t="n">
        <v>0</v>
      </c>
      <c r="G14" s="16" t="n">
        <v>0</v>
      </c>
      <c r="H14" s="16" t="n">
        <v>0</v>
      </c>
      <c r="I14" s="16" t="n">
        <v>0</v>
      </c>
      <c r="J14" s="16" t="n">
        <v>0</v>
      </c>
      <c r="K14" s="16" t="n">
        <v>0</v>
      </c>
      <c r="L14" s="16" t="n">
        <v>0</v>
      </c>
      <c r="M14" s="16" t="n">
        <v>0</v>
      </c>
      <c r="N14" s="25" t="n">
        <f aca="false">SUM(B14:M14)</f>
        <v>0</v>
      </c>
      <c r="O14" s="25" t="n">
        <f aca="false">SUMPRODUCT(B14:M14,B$4:M$4)</f>
        <v>0</v>
      </c>
      <c r="P14" s="25" t="n">
        <f aca="false">SUMPRODUCT(B14:M14,B$5:M$5)</f>
        <v>0</v>
      </c>
    </row>
    <row r="15" customFormat="false" ht="15" hidden="false" customHeight="false" outlineLevel="0" collapsed="false">
      <c r="A15" s="12" t="s">
        <v>130</v>
      </c>
      <c r="B15" s="16" t="n">
        <v>0</v>
      </c>
      <c r="C15" s="16" t="n">
        <v>0</v>
      </c>
      <c r="D15" s="16" t="n">
        <v>0</v>
      </c>
      <c r="E15" s="16" t="n">
        <v>0</v>
      </c>
      <c r="F15" s="16" t="n">
        <v>174</v>
      </c>
      <c r="G15" s="16" t="n">
        <v>50</v>
      </c>
      <c r="H15" s="16" t="n">
        <v>0</v>
      </c>
      <c r="I15" s="16" t="n">
        <v>86</v>
      </c>
      <c r="J15" s="16" t="n">
        <v>24</v>
      </c>
      <c r="K15" s="16" t="n">
        <v>0</v>
      </c>
      <c r="L15" s="16" t="n">
        <v>0</v>
      </c>
      <c r="M15" s="16" t="n">
        <v>1</v>
      </c>
      <c r="N15" s="25" t="n">
        <f aca="false">SUM(B15:M15)</f>
        <v>335</v>
      </c>
      <c r="O15" s="25" t="n">
        <f aca="false">SUMPRODUCT(B15:M15,B$4:M$4)</f>
        <v>8027</v>
      </c>
      <c r="P15" s="25" t="n">
        <f aca="false">SUMPRODUCT(B15:M15,B$5:M$5)</f>
        <v>2258</v>
      </c>
    </row>
    <row r="16" customFormat="false" ht="15" hidden="false" customHeight="false" outlineLevel="0" collapsed="false">
      <c r="A16" s="12" t="s">
        <v>132</v>
      </c>
      <c r="B16" s="16" t="n">
        <v>288</v>
      </c>
      <c r="C16" s="16" t="n">
        <v>178</v>
      </c>
      <c r="D16" s="16" t="n">
        <v>0</v>
      </c>
      <c r="E16" s="16" t="n">
        <v>0</v>
      </c>
      <c r="F16" s="16" t="n">
        <v>0</v>
      </c>
      <c r="G16" s="16" t="n">
        <v>1</v>
      </c>
      <c r="H16" s="16" t="n">
        <v>0</v>
      </c>
      <c r="I16" s="16" t="n">
        <v>0</v>
      </c>
      <c r="J16" s="16" t="n">
        <v>0</v>
      </c>
      <c r="K16" s="16" t="n">
        <v>0</v>
      </c>
      <c r="L16" s="16" t="n">
        <v>0</v>
      </c>
      <c r="M16" s="16" t="n">
        <v>0</v>
      </c>
      <c r="N16" s="25" t="n">
        <f aca="false">SUM(B16:M16)</f>
        <v>467</v>
      </c>
      <c r="O16" s="25" t="n">
        <f aca="false">SUMPRODUCT(B16:M16,B$4:M$4)</f>
        <v>5905</v>
      </c>
      <c r="P16" s="25" t="n">
        <f aca="false">SUMPRODUCT(B16:M16,B$5:M$5)</f>
        <v>1693</v>
      </c>
    </row>
    <row r="17" customFormat="false" ht="15" hidden="false" customHeight="false" outlineLevel="0" collapsed="false">
      <c r="A17" s="12" t="s">
        <v>134</v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  <c r="G17" s="16" t="n">
        <v>1</v>
      </c>
      <c r="H17" s="16" t="n">
        <v>0</v>
      </c>
      <c r="I17" s="16" t="n">
        <v>0</v>
      </c>
      <c r="J17" s="16" t="n">
        <v>0</v>
      </c>
      <c r="K17" s="16" t="n">
        <v>0</v>
      </c>
      <c r="L17" s="16" t="n">
        <v>0</v>
      </c>
      <c r="M17" s="16" t="n">
        <v>0</v>
      </c>
      <c r="N17" s="25" t="n">
        <f aca="false">SUM(B17:M17)</f>
        <v>1</v>
      </c>
      <c r="O17" s="25" t="n">
        <f aca="false">SUMPRODUCT(B17:M17,B$4:M$4)</f>
        <v>25</v>
      </c>
      <c r="P17" s="25" t="n">
        <f aca="false">SUMPRODUCT(B17:M17,B$5:M$5)</f>
        <v>7</v>
      </c>
    </row>
    <row r="18" customFormat="false" ht="15" hidden="false" customHeight="false" outlineLevel="0" collapsed="false">
      <c r="A18" s="4" t="s">
        <v>99</v>
      </c>
      <c r="B18" s="26" t="n">
        <f aca="false">SUM(B7:B17)</f>
        <v>1027</v>
      </c>
      <c r="C18" s="26" t="n">
        <f aca="false">SUM(C7:C17)</f>
        <v>758</v>
      </c>
      <c r="D18" s="26" t="n">
        <f aca="false">SUM(D7:D17)</f>
        <v>684</v>
      </c>
      <c r="E18" s="26" t="n">
        <f aca="false">SUM(E7:E17)</f>
        <v>681</v>
      </c>
      <c r="F18" s="26" t="n">
        <f aca="false">SUM(F7:F17)</f>
        <v>629</v>
      </c>
      <c r="G18" s="26" t="n">
        <f aca="false">SUM(G7:G17)</f>
        <v>515</v>
      </c>
      <c r="H18" s="26" t="n">
        <f aca="false">SUM(H7:H17)</f>
        <v>344</v>
      </c>
      <c r="I18" s="26" t="n">
        <f aca="false">SUM(I7:I17)</f>
        <v>311</v>
      </c>
      <c r="J18" s="26" t="n">
        <f aca="false">SUM(J7:J17)</f>
        <v>466</v>
      </c>
      <c r="K18" s="26" t="n">
        <f aca="false">SUM(K7:K17)</f>
        <v>43</v>
      </c>
      <c r="L18" s="26" t="n">
        <f aca="false">SUM(L7:L17)</f>
        <v>6</v>
      </c>
      <c r="M18" s="26" t="n">
        <f aca="false">SUM(M7:M17)</f>
        <v>6</v>
      </c>
      <c r="N18" s="26" t="n">
        <f aca="false">SUM(N7:N17)</f>
        <v>5470</v>
      </c>
      <c r="O18" s="26" t="n">
        <f aca="false">SUM(O7:O17)</f>
        <v>121315</v>
      </c>
      <c r="P18" s="26" t="n">
        <f aca="false">SUM(P7:P17)</f>
        <v>35139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5" hidden="false" customHeight="false" outlineLevel="0" collapsed="false">
      <c r="A20" s="3" t="s">
        <v>173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2026-10-26T15:44:11Z</dcterms:created>
  <dc:creator>openpyxl</dc:creator>
  <dc:description/>
  <dc:language>en-US</dc:language>
  <cp:lastModifiedBy/>
  <dcterms:modified xsi:type="dcterms:W3CDTF">2026-10-26T15:44:11Z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