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Détail" sheetId="2" state="visible" r:id="rId4"/>
    <sheet name="Par pl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<sst xmlns="http://schemas.openxmlformats.org/spreadsheetml/2006/main" count="192" uniqueCount="136">
  <si>
    <t xml:space="preserve">Forteresse Ø30 — bilan matériaux</t>
  </si>
  <si>
    <t xml:space="preserve">Calculé depuis l'onglet Détail. Les tourelles (60 Heavy, 30 Tek, 6 Tesla) sont déjà en inventaire : ne fabriquez que la colonne « À fabriquer ».</t>
  </si>
  <si>
    <t xml:space="preserve">Nombre de structures</t>
  </si>
  <si>
    <t xml:space="preserve">Poste</t>
  </si>
  <si>
    <t xml:space="preserve">Structures</t>
  </si>
  <si>
    <t xml:space="preserve">Devenir</t>
  </si>
  <si>
    <t xml:space="preserve">Structure des 8 plans</t>
  </si>
  <si>
    <t xml:space="preserve">définitives</t>
  </si>
  <si>
    <t xml:space="preserve">Ancres temporaires (démolies)</t>
  </si>
  <si>
    <t xml:space="preserve">démolies à la fin</t>
  </si>
  <si>
    <t xml:space="preserve">Murs de pics</t>
  </si>
  <si>
    <t xml:space="preserve">définitifs, posés à la main</t>
  </si>
  <si>
    <t xml:space="preserve">Murs de chaume (démolis)</t>
  </si>
  <si>
    <t xml:space="preserve">démolis après la pose des tourelles</t>
  </si>
  <si>
    <t xml:space="preserve">Équipements</t>
  </si>
  <si>
    <t xml:space="preserve">définitifs, hors plans</t>
  </si>
  <si>
    <t xml:space="preserve">Tourelles (déjà en inventaire)</t>
  </si>
  <si>
    <t xml:space="preserve">définitives, déjà en inventaire</t>
  </si>
  <si>
    <t xml:space="preserve">Total à poser</t>
  </si>
  <si>
    <t xml:space="preserve">Matériaux par poste</t>
  </si>
  <si>
    <t xml:space="preserve">Lingots de métal</t>
  </si>
  <si>
    <t xml:space="preserve">Pâte cimentée</t>
  </si>
  <si>
    <t xml:space="preserve">Électroniques</t>
  </si>
  <si>
    <t xml:space="preserve">Polymère</t>
  </si>
  <si>
    <t xml:space="preserve">Cristal</t>
  </si>
  <si>
    <t xml:space="preserve">Élément</t>
  </si>
  <si>
    <t xml:space="preserve">Perles noires</t>
  </si>
  <si>
    <t xml:space="preserve">Huile</t>
  </si>
  <si>
    <t xml:space="preserve">Poudre étincelante</t>
  </si>
  <si>
    <t xml:space="preserve">Cuir</t>
  </si>
  <si>
    <t xml:space="preserve">Fibre</t>
  </si>
  <si>
    <t xml:space="preserve">Chaume</t>
  </si>
  <si>
    <t xml:space="preserve">Bois</t>
  </si>
  <si>
    <t xml:space="preserve">À fabriquer (hors tourelles)</t>
  </si>
  <si>
    <t xml:space="preserve">Total avec les tourelles</t>
  </si>
  <si>
    <t xml:space="preserve">Équivalent en ressources brutes</t>
  </si>
  <si>
    <t xml:space="preserve">Recette (hypothèse, à vérifier sur votre serveur)</t>
  </si>
  <si>
    <t xml:space="preserve">Minerai par lingot</t>
  </si>
  <si>
    <t xml:space="preserve">Perles de silice par électronique</t>
  </si>
  <si>
    <t xml:space="preserve">Lingot par électronique</t>
  </si>
  <si>
    <t xml:space="preserve">Obsidienne par polymère</t>
  </si>
  <si>
    <t xml:space="preserve">Pâte par polymère</t>
  </si>
  <si>
    <t xml:space="preserve">Chitine/kératine par pâte</t>
  </si>
  <si>
    <t xml:space="preserve">Pierre par pâte</t>
  </si>
  <si>
    <t xml:space="preserve">Silex par poudre étincelante</t>
  </si>
  <si>
    <t xml:space="preserve">Pierre par poudre étincelante</t>
  </si>
  <si>
    <t xml:space="preserve">Ressource brute</t>
  </si>
  <si>
    <t xml:space="preserve">Hors tourelles</t>
  </si>
  <si>
    <t xml:space="preserve">Avec les tourelles</t>
  </si>
  <si>
    <t xml:space="preserve">Lingots de métal au total (électroniques comprises)</t>
  </si>
  <si>
    <t xml:space="preserve">Minerai de métal</t>
  </si>
  <si>
    <t xml:space="preserve">Pâte cimentée au total (polymère compris)</t>
  </si>
  <si>
    <t xml:space="preserve">Chitine ou kératine</t>
  </si>
  <si>
    <t xml:space="preserve">Pierre</t>
  </si>
  <si>
    <t xml:space="preserve">Obsidienne</t>
  </si>
  <si>
    <t xml:space="preserve">Perles de silice</t>
  </si>
  <si>
    <t xml:space="preserve">Silex</t>
  </si>
  <si>
    <t xml:space="preserve">Option --appuis prudent (un poteau au bout de chaque ligne de rampes) : +566 piliers fins, soit +7 358 lingots et +2 264 pâte.</t>
  </si>
  <si>
    <t xml:space="preserve">Étoile centrale déjà construite : retirez 87 fondations et 174 triangles (−8 700 lingots, −2 697 pâte) dans l'onglet Détail.</t>
  </si>
  <si>
    <t xml:space="preserve">Source des quantités : outils/forteresse.py → donnees/synthese.json (bilan_complet), version 92b8c5f.</t>
  </si>
  <si>
    <t xml:space="preserve">Bilan matériaux — détail par pièce</t>
  </si>
  <si>
    <t xml:space="preserve">Bleu = donnée saisie (nombre de pièces, coût unitaire) : modifiez-la, tout se recalcule. Noir = formule. Coûts unitaires : module 07 §6 et README §9 ; « oui » en colonne Estimation = coût non trouvé dans les sources.</t>
  </si>
  <si>
    <t xml:space="preserve">Pièce</t>
  </si>
  <si>
    <t xml:space="preserve">Nombre</t>
  </si>
  <si>
    <t xml:space="preserve">Estimation</t>
  </si>
  <si>
    <t xml:space="preserve">Lingots de métal / u</t>
  </si>
  <si>
    <t xml:space="preserve">Pâte cimentée / u</t>
  </si>
  <si>
    <t xml:space="preserve">Électroniques / u</t>
  </si>
  <si>
    <t xml:space="preserve">Polymère / u</t>
  </si>
  <si>
    <t xml:space="preserve">Cristal / u</t>
  </si>
  <si>
    <t xml:space="preserve">Élément / u</t>
  </si>
  <si>
    <t xml:space="preserve">Perles noires / u</t>
  </si>
  <si>
    <t xml:space="preserve">Huile / u</t>
  </si>
  <si>
    <t xml:space="preserve">Poudre étincelante / u</t>
  </si>
  <si>
    <t xml:space="preserve">Cuir / u</t>
  </si>
  <si>
    <t xml:space="preserve">Fibre / u</t>
  </si>
  <si>
    <t xml:space="preserve">Chaume / u</t>
  </si>
  <si>
    <t xml:space="preserve">Bois / u</t>
  </si>
  <si>
    <t xml:space="preserve">Lingots de métal total</t>
  </si>
  <si>
    <t xml:space="preserve">Pâte cimentée total</t>
  </si>
  <si>
    <t xml:space="preserve">Électroniques total</t>
  </si>
  <si>
    <t xml:space="preserve">Polymère total</t>
  </si>
  <si>
    <t xml:space="preserve">Cristal total</t>
  </si>
  <si>
    <t xml:space="preserve">Élément total</t>
  </si>
  <si>
    <t xml:space="preserve">Perles noires total</t>
  </si>
  <si>
    <t xml:space="preserve">Huile total</t>
  </si>
  <si>
    <t xml:space="preserve">Poudre étincelante total</t>
  </si>
  <si>
    <t xml:space="preserve">Cuir total</t>
  </si>
  <si>
    <t xml:space="preserve">Fibre total</t>
  </si>
  <si>
    <t xml:space="preserve">Chaume total</t>
  </si>
  <si>
    <t xml:space="preserve">Bois total</t>
  </si>
  <si>
    <t xml:space="preserve">Mur métal</t>
  </si>
  <si>
    <t xml:space="preserve">Rampe inclinée métal (Sloped Railing)</t>
  </si>
  <si>
    <t xml:space="preserve">oui</t>
  </si>
  <si>
    <t xml:space="preserve">Fondation triangle métal</t>
  </si>
  <si>
    <t xml:space="preserve">Plafond triangle métal</t>
  </si>
  <si>
    <t xml:space="preserve">Pilier métal</t>
  </si>
  <si>
    <t xml:space="preserve">Fondation métal</t>
  </si>
  <si>
    <t xml:space="preserve">Plafond métal</t>
  </si>
  <si>
    <t xml:space="preserve">Pilier fin métal (Thin Pillar)</t>
  </si>
  <si>
    <t xml:space="preserve">Pilier fin couché métal (Flat Thin Pillar)</t>
  </si>
  <si>
    <t xml:space="preserve">Cadre de porte double métal</t>
  </si>
  <si>
    <t xml:space="preserve">Demi-pilier fin métal (Half Thin Pillar)</t>
  </si>
  <si>
    <t xml:space="preserve">Escalier métal</t>
  </si>
  <si>
    <t xml:space="preserve">Plafond à trappe métal</t>
  </si>
  <si>
    <t xml:space="preserve">Demi-pilier métal (ancre)</t>
  </si>
  <si>
    <t xml:space="preserve">Mur de pics métal</t>
  </si>
  <si>
    <t xml:space="preserve">Mur de chaume (gabarit de pose, à démolir)</t>
  </si>
  <si>
    <t xml:space="preserve">Stockage dédié Tek (Tek Dedicated Storage)</t>
  </si>
  <si>
    <t xml:space="preserve">Coffre-fort (Vault)</t>
  </si>
  <si>
    <t xml:space="preserve">Générateur Tek</t>
  </si>
  <si>
    <t xml:space="preserve">Réplicateur Tek</t>
  </si>
  <si>
    <t xml:space="preserve">Forge à vapeur (Steam Forge)</t>
  </si>
  <si>
    <t xml:space="preserve">Labo de fortune (Makeshift Megalab)</t>
  </si>
  <si>
    <t xml:space="preserve">Tourelle lourde (Heavy)</t>
  </si>
  <si>
    <t xml:space="preserve">Tourelle Tek</t>
  </si>
  <si>
    <t xml:space="preserve">Bobine Tesla</t>
  </si>
  <si>
    <t xml:space="preserve">Total général (avec tourelles)</t>
  </si>
  <si>
    <t xml:space="preserve">Structure par plan (hors tourelles et murs de chaume)</t>
  </si>
  <si>
    <t xml:space="preserve">Nombre de pièces par plan (bleu) ; coûts unitaires repris de l'onglet Détail (vert).</t>
  </si>
  <si>
    <t xml:space="preserve">Lingots / pièce</t>
  </si>
  <si>
    <t xml:space="preserve">Pâte / pièce</t>
  </si>
  <si>
    <t xml:space="preserve">Plan</t>
  </si>
  <si>
    <t xml:space="preserve">Pièces</t>
  </si>
  <si>
    <t xml:space="preserve">Lingots</t>
  </si>
  <si>
    <t xml:space="preserve">Pâte</t>
  </si>
  <si>
    <t xml:space="preserve">Plan 1 sol anneaux 12-15</t>
  </si>
  <si>
    <t xml:space="preserve">Plan 2 murs rampes tourelles anneaux 12-15</t>
  </si>
  <si>
    <t xml:space="preserve">Plan 3 sol centre anneaux 0-11</t>
  </si>
  <si>
    <t xml:space="preserve">Plan 4 pod central</t>
  </si>
  <si>
    <t xml:space="preserve">Plan 5 cage et casquette</t>
  </si>
  <si>
    <t xml:space="preserve">Plan 6 toit rampes</t>
  </si>
  <si>
    <t xml:space="preserve">Plan 7 tourelles cage L1</t>
  </si>
  <si>
    <t xml:space="preserve">Plan 8 plateforme future anneaux 9-11</t>
  </si>
  <si>
    <t xml:space="preserve">Total</t>
  </si>
  <si>
    <t xml:space="preserve">Le plan 2 contient en plus 36 murs de chaume + 30 Heavy + 6 Tesla, le plan 7 60 murs de chaume + 60 tourelles (onglet Détail).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</si>
</sst>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#,##0&quot; restent en place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4EE"/>
        <bgColor rgb="FFF2F2F2"/>
      </patternFill>
    </fill>
    <fill>
      <patternFill patternType="solid">
        <fgColor rgb="FFF2F2F2"/>
        <bgColor rgb="FFDDE4E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14" min="4" style="0" width="13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5" hidden="false" customHeight="false" outlineLevel="0" collapsed="false">
      <c r="A6" s="6" t="s">
        <v>6</v>
      </c>
      <c r="B6" s="7" t="n">
        <f aca="false">SUMIFS(Détail!$C$5:$C$29,Détail!$A$5:$A$29,A6)</f>
        <v>4669</v>
      </c>
      <c r="C6" s="6" t="s">
        <v>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6" t="s">
        <v>8</v>
      </c>
      <c r="B7" s="7" t="n">
        <f aca="false">SUMIFS(Détail!$C$5:$C$29,Détail!$A$5:$A$29,A7)</f>
        <v>9</v>
      </c>
      <c r="C7" s="6" t="s">
        <v>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6" t="s">
        <v>10</v>
      </c>
      <c r="B8" s="7" t="n">
        <f aca="false">SUMIFS(Détail!$C$5:$C$29,Détail!$A$5:$A$29,A8)</f>
        <v>74</v>
      </c>
      <c r="C8" s="6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6" t="s">
        <v>12</v>
      </c>
      <c r="B9" s="7" t="n">
        <f aca="false">SUMIFS(Détail!$C$5:$C$29,Détail!$A$5:$A$29,A9)</f>
        <v>96</v>
      </c>
      <c r="C9" s="6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5" hidden="false" customHeight="false" outlineLevel="0" collapsed="false">
      <c r="A10" s="6" t="s">
        <v>14</v>
      </c>
      <c r="B10" s="7" t="n">
        <f aca="false">SUMIFS(Détail!$C$5:$C$29,Détail!$A$5:$A$29,A10)</f>
        <v>45</v>
      </c>
      <c r="C10" s="6" t="s">
        <v>15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6" t="s">
        <v>16</v>
      </c>
      <c r="B11" s="7" t="n">
        <f aca="false">SUMIFS(Détail!$C$5:$C$29,Détail!$A$5:$A$29,A11)</f>
        <v>96</v>
      </c>
      <c r="C11" s="6" t="s">
        <v>17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5" hidden="false" customHeight="false" outlineLevel="0" collapsed="false">
      <c r="A12" s="8" t="s">
        <v>18</v>
      </c>
      <c r="B12" s="9" t="n">
        <f aca="false">SUM(B6:B11)</f>
        <v>4989</v>
      </c>
      <c r="C12" s="10" t="n">
        <f aca="false">B12-B7-B9</f>
        <v>4884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4" t="s">
        <v>19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30" hidden="false" customHeight="true" outlineLevel="0" collapsed="false">
      <c r="A15" s="11" t="s">
        <v>3</v>
      </c>
      <c r="B15" s="11" t="s">
        <v>20</v>
      </c>
      <c r="C15" s="11" t="s">
        <v>21</v>
      </c>
      <c r="D15" s="11" t="s">
        <v>22</v>
      </c>
      <c r="E15" s="11" t="s">
        <v>23</v>
      </c>
      <c r="F15" s="11" t="s">
        <v>24</v>
      </c>
      <c r="G15" s="11" t="s">
        <v>25</v>
      </c>
      <c r="H15" s="11" t="s">
        <v>26</v>
      </c>
      <c r="I15" s="11" t="s">
        <v>27</v>
      </c>
      <c r="J15" s="11" t="s">
        <v>28</v>
      </c>
      <c r="K15" s="11" t="s">
        <v>29</v>
      </c>
      <c r="L15" s="11" t="s">
        <v>30</v>
      </c>
      <c r="M15" s="11" t="s">
        <v>31</v>
      </c>
      <c r="N15" s="11" t="s">
        <v>32</v>
      </c>
    </row>
    <row r="16" customFormat="false" ht="15" hidden="false" customHeight="false" outlineLevel="0" collapsed="false">
      <c r="A16" s="6" t="s">
        <v>6</v>
      </c>
      <c r="B16" s="7" t="n">
        <f aca="false">SUMIFS(Détail!$R$5:$R$29,Détail!$A$5:$A$29,$A16)</f>
        <v>108712</v>
      </c>
      <c r="C16" s="7" t="n">
        <f aca="false">SUMIFS(Détail!$S$5:$S$29,Détail!$A$5:$A$29,$A16)</f>
        <v>31285</v>
      </c>
      <c r="D16" s="7" t="n">
        <f aca="false">SUMIFS(Détail!$T$5:$T$29,Détail!$A$5:$A$29,$A16)</f>
        <v>0</v>
      </c>
      <c r="E16" s="7" t="n">
        <f aca="false">SUMIFS(Détail!$U$5:$U$29,Détail!$A$5:$A$29,$A16)</f>
        <v>0</v>
      </c>
      <c r="F16" s="7" t="n">
        <f aca="false">SUMIFS(Détail!$V$5:$V$29,Détail!$A$5:$A$29,$A16)</f>
        <v>0</v>
      </c>
      <c r="G16" s="7" t="n">
        <f aca="false">SUMIFS(Détail!$W$5:$W$29,Détail!$A$5:$A$29,$A16)</f>
        <v>0</v>
      </c>
      <c r="H16" s="7" t="n">
        <f aca="false">SUMIFS(Détail!$X$5:$X$29,Détail!$A$5:$A$29,$A16)</f>
        <v>0</v>
      </c>
      <c r="I16" s="7" t="n">
        <f aca="false">SUMIFS(Détail!$Y$5:$Y$29,Détail!$A$5:$A$29,$A16)</f>
        <v>0</v>
      </c>
      <c r="J16" s="7" t="n">
        <f aca="false">SUMIFS(Détail!$Z$5:$Z$29,Détail!$A$5:$A$29,$A16)</f>
        <v>0</v>
      </c>
      <c r="K16" s="7" t="n">
        <f aca="false">SUMIFS(Détail!$AA$5:$AA$29,Détail!$A$5:$A$29,$A16)</f>
        <v>0</v>
      </c>
      <c r="L16" s="7" t="n">
        <f aca="false">SUMIFS(Détail!$AB$5:$AB$29,Détail!$A$5:$A$29,$A16)</f>
        <v>0</v>
      </c>
      <c r="M16" s="7" t="n">
        <f aca="false">SUMIFS(Détail!$AC$5:$AC$29,Détail!$A$5:$A$29,$A16)</f>
        <v>0</v>
      </c>
      <c r="N16" s="7" t="n">
        <f aca="false">SUMIFS(Détail!$AD$5:$AD$29,Détail!$A$5:$A$29,$A16)</f>
        <v>0</v>
      </c>
    </row>
    <row r="17" customFormat="false" ht="15" hidden="false" customHeight="false" outlineLevel="0" collapsed="false">
      <c r="A17" s="6" t="s">
        <v>8</v>
      </c>
      <c r="B17" s="7" t="n">
        <f aca="false">SUMIFS(Détail!$R$5:$R$29,Détail!$A$5:$A$29,$A17)</f>
        <v>117</v>
      </c>
      <c r="C17" s="7" t="n">
        <f aca="false">SUMIFS(Détail!$S$5:$S$29,Détail!$A$5:$A$29,$A17)</f>
        <v>36</v>
      </c>
      <c r="D17" s="7" t="n">
        <f aca="false">SUMIFS(Détail!$T$5:$T$29,Détail!$A$5:$A$29,$A17)</f>
        <v>0</v>
      </c>
      <c r="E17" s="7" t="n">
        <f aca="false">SUMIFS(Détail!$U$5:$U$29,Détail!$A$5:$A$29,$A17)</f>
        <v>0</v>
      </c>
      <c r="F17" s="7" t="n">
        <f aca="false">SUMIFS(Détail!$V$5:$V$29,Détail!$A$5:$A$29,$A17)</f>
        <v>0</v>
      </c>
      <c r="G17" s="7" t="n">
        <f aca="false">SUMIFS(Détail!$W$5:$W$29,Détail!$A$5:$A$29,$A17)</f>
        <v>0</v>
      </c>
      <c r="H17" s="7" t="n">
        <f aca="false">SUMIFS(Détail!$X$5:$X$29,Détail!$A$5:$A$29,$A17)</f>
        <v>0</v>
      </c>
      <c r="I17" s="7" t="n">
        <f aca="false">SUMIFS(Détail!$Y$5:$Y$29,Détail!$A$5:$A$29,$A17)</f>
        <v>0</v>
      </c>
      <c r="J17" s="7" t="n">
        <f aca="false">SUMIFS(Détail!$Z$5:$Z$29,Détail!$A$5:$A$29,$A17)</f>
        <v>0</v>
      </c>
      <c r="K17" s="7" t="n">
        <f aca="false">SUMIFS(Détail!$AA$5:$AA$29,Détail!$A$5:$A$29,$A17)</f>
        <v>0</v>
      </c>
      <c r="L17" s="7" t="n">
        <f aca="false">SUMIFS(Détail!$AB$5:$AB$29,Détail!$A$5:$A$29,$A17)</f>
        <v>0</v>
      </c>
      <c r="M17" s="7" t="n">
        <f aca="false">SUMIFS(Détail!$AC$5:$AC$29,Détail!$A$5:$A$29,$A17)</f>
        <v>0</v>
      </c>
      <c r="N17" s="7" t="n">
        <f aca="false">SUMIFS(Détail!$AD$5:$AD$29,Détail!$A$5:$A$29,$A17)</f>
        <v>0</v>
      </c>
    </row>
    <row r="18" customFormat="false" ht="15" hidden="false" customHeight="false" outlineLevel="0" collapsed="false">
      <c r="A18" s="6" t="s">
        <v>10</v>
      </c>
      <c r="B18" s="7" t="n">
        <f aca="false">SUMIFS(Détail!$R$5:$R$29,Détail!$A$5:$A$29,$A18)</f>
        <v>1850</v>
      </c>
      <c r="C18" s="7" t="n">
        <f aca="false">SUMIFS(Détail!$S$5:$S$29,Détail!$A$5:$A$29,$A18)</f>
        <v>0</v>
      </c>
      <c r="D18" s="7" t="n">
        <f aca="false">SUMIFS(Détail!$T$5:$T$29,Détail!$A$5:$A$29,$A18)</f>
        <v>0</v>
      </c>
      <c r="E18" s="7" t="n">
        <f aca="false">SUMIFS(Détail!$U$5:$U$29,Détail!$A$5:$A$29,$A18)</f>
        <v>0</v>
      </c>
      <c r="F18" s="7" t="n">
        <f aca="false">SUMIFS(Détail!$V$5:$V$29,Détail!$A$5:$A$29,$A18)</f>
        <v>0</v>
      </c>
      <c r="G18" s="7" t="n">
        <f aca="false">SUMIFS(Détail!$W$5:$W$29,Détail!$A$5:$A$29,$A18)</f>
        <v>0</v>
      </c>
      <c r="H18" s="7" t="n">
        <f aca="false">SUMIFS(Détail!$X$5:$X$29,Détail!$A$5:$A$29,$A18)</f>
        <v>0</v>
      </c>
      <c r="I18" s="7" t="n">
        <f aca="false">SUMIFS(Détail!$Y$5:$Y$29,Détail!$A$5:$A$29,$A18)</f>
        <v>0</v>
      </c>
      <c r="J18" s="7" t="n">
        <f aca="false">SUMIFS(Détail!$Z$5:$Z$29,Détail!$A$5:$A$29,$A18)</f>
        <v>0</v>
      </c>
      <c r="K18" s="7" t="n">
        <f aca="false">SUMIFS(Détail!$AA$5:$AA$29,Détail!$A$5:$A$29,$A18)</f>
        <v>1480</v>
      </c>
      <c r="L18" s="7" t="n">
        <f aca="false">SUMIFS(Détail!$AB$5:$AB$29,Détail!$A$5:$A$29,$A18)</f>
        <v>2220</v>
      </c>
      <c r="M18" s="7" t="n">
        <f aca="false">SUMIFS(Détail!$AC$5:$AC$29,Détail!$A$5:$A$29,$A18)</f>
        <v>0</v>
      </c>
      <c r="N18" s="7" t="n">
        <f aca="false">SUMIFS(Détail!$AD$5:$AD$29,Détail!$A$5:$A$29,$A18)</f>
        <v>0</v>
      </c>
    </row>
    <row r="19" customFormat="false" ht="15" hidden="false" customHeight="false" outlineLevel="0" collapsed="false">
      <c r="A19" s="6" t="s">
        <v>12</v>
      </c>
      <c r="B19" s="7" t="n">
        <f aca="false">SUMIFS(Détail!$R$5:$R$29,Détail!$A$5:$A$29,$A19)</f>
        <v>0</v>
      </c>
      <c r="C19" s="7" t="n">
        <f aca="false">SUMIFS(Détail!$S$5:$S$29,Détail!$A$5:$A$29,$A19)</f>
        <v>0</v>
      </c>
      <c r="D19" s="7" t="n">
        <f aca="false">SUMIFS(Détail!$T$5:$T$29,Détail!$A$5:$A$29,$A19)</f>
        <v>0</v>
      </c>
      <c r="E19" s="7" t="n">
        <f aca="false">SUMIFS(Détail!$U$5:$U$29,Détail!$A$5:$A$29,$A19)</f>
        <v>0</v>
      </c>
      <c r="F19" s="7" t="n">
        <f aca="false">SUMIFS(Détail!$V$5:$V$29,Détail!$A$5:$A$29,$A19)</f>
        <v>0</v>
      </c>
      <c r="G19" s="7" t="n">
        <f aca="false">SUMIFS(Détail!$W$5:$W$29,Détail!$A$5:$A$29,$A19)</f>
        <v>0</v>
      </c>
      <c r="H19" s="7" t="n">
        <f aca="false">SUMIFS(Détail!$X$5:$X$29,Détail!$A$5:$A$29,$A19)</f>
        <v>0</v>
      </c>
      <c r="I19" s="7" t="n">
        <f aca="false">SUMIFS(Détail!$Y$5:$Y$29,Détail!$A$5:$A$29,$A19)</f>
        <v>0</v>
      </c>
      <c r="J19" s="7" t="n">
        <f aca="false">SUMIFS(Détail!$Z$5:$Z$29,Détail!$A$5:$A$29,$A19)</f>
        <v>0</v>
      </c>
      <c r="K19" s="7" t="n">
        <f aca="false">SUMIFS(Détail!$AA$5:$AA$29,Détail!$A$5:$A$29,$A19)</f>
        <v>0</v>
      </c>
      <c r="L19" s="7" t="n">
        <f aca="false">SUMIFS(Détail!$AB$5:$AB$29,Détail!$A$5:$A$29,$A19)</f>
        <v>384</v>
      </c>
      <c r="M19" s="7" t="n">
        <f aca="false">SUMIFS(Détail!$AC$5:$AC$29,Détail!$A$5:$A$29,$A19)</f>
        <v>672</v>
      </c>
      <c r="N19" s="7" t="n">
        <f aca="false">SUMIFS(Détail!$AD$5:$AD$29,Détail!$A$5:$A$29,$A19)</f>
        <v>384</v>
      </c>
    </row>
    <row r="20" customFormat="false" ht="15" hidden="false" customHeight="false" outlineLevel="0" collapsed="false">
      <c r="A20" s="6" t="s">
        <v>14</v>
      </c>
      <c r="B20" s="7" t="n">
        <f aca="false">SUMIFS(Détail!$R$5:$R$29,Détail!$A$5:$A$29,$A20)</f>
        <v>26000</v>
      </c>
      <c r="C20" s="7" t="n">
        <f aca="false">SUMIFS(Détail!$S$5:$S$29,Détail!$A$5:$A$29,$A20)</f>
        <v>2900</v>
      </c>
      <c r="D20" s="7" t="n">
        <f aca="false">SUMIFS(Détail!$T$5:$T$29,Détail!$A$5:$A$29,$A20)</f>
        <v>220</v>
      </c>
      <c r="E20" s="7" t="n">
        <f aca="false">SUMIFS(Détail!$U$5:$U$29,Détail!$A$5:$A$29,$A20)</f>
        <v>5850</v>
      </c>
      <c r="F20" s="7" t="n">
        <f aca="false">SUMIFS(Détail!$V$5:$V$29,Détail!$A$5:$A$29,$A20)</f>
        <v>3350</v>
      </c>
      <c r="G20" s="7" t="n">
        <f aca="false">SUMIFS(Détail!$W$5:$W$29,Détail!$A$5:$A$29,$A20)</f>
        <v>220</v>
      </c>
      <c r="H20" s="7" t="n">
        <f aca="false">SUMIFS(Détail!$X$5:$X$29,Détail!$A$5:$A$29,$A20)</f>
        <v>470</v>
      </c>
      <c r="I20" s="7" t="n">
        <f aca="false">SUMIFS(Détail!$Y$5:$Y$29,Détail!$A$5:$A$29,$A20)</f>
        <v>1400</v>
      </c>
      <c r="J20" s="7" t="n">
        <f aca="false">SUMIFS(Détail!$Z$5:$Z$29,Détail!$A$5:$A$29,$A20)</f>
        <v>100</v>
      </c>
      <c r="K20" s="7" t="n">
        <f aca="false">SUMIFS(Détail!$AA$5:$AA$29,Détail!$A$5:$A$29,$A20)</f>
        <v>0</v>
      </c>
      <c r="L20" s="7" t="n">
        <f aca="false">SUMIFS(Détail!$AB$5:$AB$29,Détail!$A$5:$A$29,$A20)</f>
        <v>0</v>
      </c>
      <c r="M20" s="7" t="n">
        <f aca="false">SUMIFS(Détail!$AC$5:$AC$29,Détail!$A$5:$A$29,$A20)</f>
        <v>0</v>
      </c>
      <c r="N20" s="7" t="n">
        <f aca="false">SUMIFS(Détail!$AD$5:$AD$29,Détail!$A$5:$A$29,$A20)</f>
        <v>0</v>
      </c>
    </row>
    <row r="21" customFormat="false" ht="15" hidden="false" customHeight="false" outlineLevel="0" collapsed="false">
      <c r="A21" s="6" t="s">
        <v>16</v>
      </c>
      <c r="B21" s="7" t="n">
        <f aca="false">SUMIFS(Détail!$R$5:$R$29,Détail!$A$5:$A$29,$A21)</f>
        <v>38400</v>
      </c>
      <c r="C21" s="7" t="n">
        <f aca="false">SUMIFS(Détail!$S$5:$S$29,Détail!$A$5:$A$29,$A21)</f>
        <v>13500</v>
      </c>
      <c r="D21" s="7" t="n">
        <f aca="false">SUMIFS(Détail!$T$5:$T$29,Détail!$A$5:$A$29,$A21)</f>
        <v>19800</v>
      </c>
      <c r="E21" s="7" t="n">
        <f aca="false">SUMIFS(Détail!$U$5:$U$29,Détail!$A$5:$A$29,$A21)</f>
        <v>7500</v>
      </c>
      <c r="F21" s="7" t="n">
        <f aca="false">SUMIFS(Détail!$V$5:$V$29,Détail!$A$5:$A$29,$A21)</f>
        <v>1200</v>
      </c>
      <c r="G21" s="7" t="n">
        <f aca="false">SUMIFS(Détail!$W$5:$W$29,Détail!$A$5:$A$29,$A21)</f>
        <v>90</v>
      </c>
      <c r="H21" s="7" t="n">
        <f aca="false">SUMIFS(Détail!$X$5:$X$29,Détail!$A$5:$A$29,$A21)</f>
        <v>0</v>
      </c>
      <c r="I21" s="7" t="n">
        <f aca="false">SUMIFS(Détail!$Y$5:$Y$29,Détail!$A$5:$A$29,$A21)</f>
        <v>0</v>
      </c>
      <c r="J21" s="7" t="n">
        <f aca="false">SUMIFS(Détail!$Z$5:$Z$29,Détail!$A$5:$A$29,$A21)</f>
        <v>0</v>
      </c>
      <c r="K21" s="7" t="n">
        <f aca="false">SUMIFS(Détail!$AA$5:$AA$29,Détail!$A$5:$A$29,$A21)</f>
        <v>0</v>
      </c>
      <c r="L21" s="7" t="n">
        <f aca="false">SUMIFS(Détail!$AB$5:$AB$29,Détail!$A$5:$A$29,$A21)</f>
        <v>0</v>
      </c>
      <c r="M21" s="7" t="n">
        <f aca="false">SUMIFS(Détail!$AC$5:$AC$29,Détail!$A$5:$A$29,$A21)</f>
        <v>0</v>
      </c>
      <c r="N21" s="7" t="n">
        <f aca="false">SUMIFS(Détail!$AD$5:$AD$29,Détail!$A$5:$A$29,$A21)</f>
        <v>0</v>
      </c>
    </row>
    <row r="22" customFormat="false" ht="15" hidden="false" customHeight="false" outlineLevel="0" collapsed="false">
      <c r="A22" s="8" t="s">
        <v>33</v>
      </c>
      <c r="B22" s="9" t="n">
        <f aca="false">SUM(B16:B20)</f>
        <v>136679</v>
      </c>
      <c r="C22" s="9" t="n">
        <f aca="false">SUM(C16:C20)</f>
        <v>34221</v>
      </c>
      <c r="D22" s="9" t="n">
        <f aca="false">SUM(D16:D20)</f>
        <v>220</v>
      </c>
      <c r="E22" s="9" t="n">
        <f aca="false">SUM(E16:E20)</f>
        <v>5850</v>
      </c>
      <c r="F22" s="9" t="n">
        <f aca="false">SUM(F16:F20)</f>
        <v>3350</v>
      </c>
      <c r="G22" s="9" t="n">
        <f aca="false">SUM(G16:G20)</f>
        <v>220</v>
      </c>
      <c r="H22" s="9" t="n">
        <f aca="false">SUM(H16:H20)</f>
        <v>470</v>
      </c>
      <c r="I22" s="9" t="n">
        <f aca="false">SUM(I16:I20)</f>
        <v>1400</v>
      </c>
      <c r="J22" s="9" t="n">
        <f aca="false">SUM(J16:J20)</f>
        <v>100</v>
      </c>
      <c r="K22" s="9" t="n">
        <f aca="false">SUM(K16:K20)</f>
        <v>1480</v>
      </c>
      <c r="L22" s="9" t="n">
        <f aca="false">SUM(L16:L20)</f>
        <v>2604</v>
      </c>
      <c r="M22" s="9" t="n">
        <f aca="false">SUM(M16:M20)</f>
        <v>672</v>
      </c>
      <c r="N22" s="9" t="n">
        <f aca="false">SUM(N16:N20)</f>
        <v>384</v>
      </c>
    </row>
    <row r="23" customFormat="false" ht="15" hidden="false" customHeight="false" outlineLevel="0" collapsed="false">
      <c r="A23" s="8" t="s">
        <v>34</v>
      </c>
      <c r="B23" s="9" t="n">
        <f aca="false">SUM(B16:B21)</f>
        <v>175079</v>
      </c>
      <c r="C23" s="9" t="n">
        <f aca="false">SUM(C16:C21)</f>
        <v>47721</v>
      </c>
      <c r="D23" s="9" t="n">
        <f aca="false">SUM(D16:D21)</f>
        <v>20020</v>
      </c>
      <c r="E23" s="9" t="n">
        <f aca="false">SUM(E16:E21)</f>
        <v>13350</v>
      </c>
      <c r="F23" s="9" t="n">
        <f aca="false">SUM(F16:F21)</f>
        <v>4550</v>
      </c>
      <c r="G23" s="9" t="n">
        <f aca="false">SUM(G16:G21)</f>
        <v>310</v>
      </c>
      <c r="H23" s="9" t="n">
        <f aca="false">SUM(H16:H21)</f>
        <v>470</v>
      </c>
      <c r="I23" s="9" t="n">
        <f aca="false">SUM(I16:I21)</f>
        <v>1400</v>
      </c>
      <c r="J23" s="9" t="n">
        <f aca="false">SUM(J16:J21)</f>
        <v>100</v>
      </c>
      <c r="K23" s="9" t="n">
        <f aca="false">SUM(K16:K21)</f>
        <v>1480</v>
      </c>
      <c r="L23" s="9" t="n">
        <f aca="false">SUM(L16:L21)</f>
        <v>2604</v>
      </c>
      <c r="M23" s="9" t="n">
        <f aca="false">SUM(M16:M21)</f>
        <v>672</v>
      </c>
      <c r="N23" s="9" t="n">
        <f aca="false">SUM(N16:N21)</f>
        <v>384</v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false" outlineLevel="0" collapsed="false">
      <c r="A25" s="4" t="s">
        <v>35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4" t="s">
        <v>36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12" t="s">
        <v>37</v>
      </c>
      <c r="B27" s="13" t="n">
        <v>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5" hidden="false" customHeight="false" outlineLevel="0" collapsed="false">
      <c r="A28" s="12" t="s">
        <v>38</v>
      </c>
      <c r="B28" s="13" t="n">
        <v>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5" hidden="false" customHeight="false" outlineLevel="0" collapsed="false">
      <c r="A29" s="12" t="s">
        <v>39</v>
      </c>
      <c r="B29" s="13" t="n">
        <v>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5" hidden="false" customHeight="false" outlineLevel="0" collapsed="false">
      <c r="A30" s="12" t="s">
        <v>40</v>
      </c>
      <c r="B30" s="13" t="n">
        <v>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5" hidden="false" customHeight="false" outlineLevel="0" collapsed="false">
      <c r="A31" s="12" t="s">
        <v>41</v>
      </c>
      <c r="B31" s="13" t="n">
        <v>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false" outlineLevel="0" collapsed="false">
      <c r="A32" s="12" t="s">
        <v>42</v>
      </c>
      <c r="B32" s="13" t="n">
        <v>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5" hidden="false" customHeight="false" outlineLevel="0" collapsed="false">
      <c r="A33" s="12" t="s">
        <v>43</v>
      </c>
      <c r="B33" s="13" t="n">
        <v>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5" hidden="false" customHeight="false" outlineLevel="0" collapsed="false">
      <c r="A34" s="12" t="s">
        <v>44</v>
      </c>
      <c r="B34" s="13" t="n">
        <v>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false" outlineLevel="0" collapsed="false">
      <c r="A35" s="12" t="s">
        <v>45</v>
      </c>
      <c r="B35" s="13" t="n">
        <v>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5" t="s">
        <v>46</v>
      </c>
      <c r="B37" s="5" t="s">
        <v>47</v>
      </c>
      <c r="C37" s="5" t="s">
        <v>48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false" outlineLevel="0" collapsed="false">
      <c r="A38" s="6" t="s">
        <v>49</v>
      </c>
      <c r="B38" s="14" t="n">
        <f aca="false">(B22+$B$29*D22)</f>
        <v>136899</v>
      </c>
      <c r="C38" s="14" t="n">
        <f aca="false">(B23+$B$29*D23)</f>
        <v>195099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false" outlineLevel="0" collapsed="false">
      <c r="A39" s="6" t="s">
        <v>50</v>
      </c>
      <c r="B39" s="14" t="n">
        <f aca="false">$B$27*(B22+$B$29*D22)</f>
        <v>273798</v>
      </c>
      <c r="C39" s="14" t="n">
        <f aca="false">$B$27*(B23+$B$29*D23)</f>
        <v>390198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6" t="s">
        <v>51</v>
      </c>
      <c r="B40" s="14" t="n">
        <f aca="false">(C22+$B$31*E22)</f>
        <v>45921</v>
      </c>
      <c r="C40" s="14" t="n">
        <f aca="false">(C23+$B$31*E23)</f>
        <v>74421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6" t="s">
        <v>52</v>
      </c>
      <c r="B41" s="14" t="n">
        <f aca="false">$B$32*(C22+$B$31*E22)</f>
        <v>183684</v>
      </c>
      <c r="C41" s="14" t="n">
        <f aca="false">$B$32*(C23+$B$31*E23)</f>
        <v>297684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false" outlineLevel="0" collapsed="false">
      <c r="A42" s="6" t="s">
        <v>53</v>
      </c>
      <c r="B42" s="14" t="n">
        <f aca="false">$B$33*(C22+$B$31*E22)+$B$35*J22</f>
        <v>367468</v>
      </c>
      <c r="C42" s="14" t="n">
        <f aca="false">$B$33*(C23+$B$31*E23)+$B$35*J23</f>
        <v>595468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6" t="s">
        <v>54</v>
      </c>
      <c r="B43" s="14" t="n">
        <f aca="false">$B$30*E22</f>
        <v>11700</v>
      </c>
      <c r="C43" s="14" t="n">
        <f aca="false">$B$30*E23</f>
        <v>26700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false" outlineLevel="0" collapsed="false">
      <c r="A44" s="6" t="s">
        <v>55</v>
      </c>
      <c r="B44" s="14" t="n">
        <f aca="false">$B$28*D22</f>
        <v>660</v>
      </c>
      <c r="C44" s="14" t="n">
        <f aca="false">$B$28*D23</f>
        <v>60060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5" hidden="false" customHeight="false" outlineLevel="0" collapsed="false">
      <c r="A45" s="6" t="s">
        <v>56</v>
      </c>
      <c r="B45" s="14" t="n">
        <f aca="false">$B$34*J22</f>
        <v>200</v>
      </c>
      <c r="C45" s="14" t="n">
        <f aca="false">$B$34*J23</f>
        <v>200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5" hidden="false" customHeight="false" outlineLevel="0" collapsed="false">
      <c r="A47" s="3" t="s">
        <v>57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5" hidden="false" customHeight="false" outlineLevel="0" collapsed="false">
      <c r="A48" s="3" t="s">
        <v>58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5" hidden="false" customHeight="false" outlineLevel="0" collapsed="false">
      <c r="A49" s="3" t="s">
        <v>59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30" min="5" style="0" width="11"/>
  </cols>
  <sheetData>
    <row r="1" customFormat="false" ht="17.35" hidden="false" customHeight="false" outlineLevel="0" collapsed="false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3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customFormat="false" ht="42" hidden="false" customHeight="true" outlineLevel="0" collapsed="false">
      <c r="A4" s="11" t="s">
        <v>3</v>
      </c>
      <c r="B4" s="11" t="s">
        <v>62</v>
      </c>
      <c r="C4" s="11" t="s">
        <v>63</v>
      </c>
      <c r="D4" s="11" t="s">
        <v>64</v>
      </c>
      <c r="E4" s="11" t="s">
        <v>65</v>
      </c>
      <c r="F4" s="11" t="s">
        <v>66</v>
      </c>
      <c r="G4" s="11" t="s">
        <v>67</v>
      </c>
      <c r="H4" s="11" t="s">
        <v>68</v>
      </c>
      <c r="I4" s="11" t="s">
        <v>69</v>
      </c>
      <c r="J4" s="11" t="s">
        <v>70</v>
      </c>
      <c r="K4" s="11" t="s">
        <v>71</v>
      </c>
      <c r="L4" s="11" t="s">
        <v>72</v>
      </c>
      <c r="M4" s="11" t="s">
        <v>73</v>
      </c>
      <c r="N4" s="11" t="s">
        <v>74</v>
      </c>
      <c r="O4" s="11" t="s">
        <v>75</v>
      </c>
      <c r="P4" s="11" t="s">
        <v>76</v>
      </c>
      <c r="Q4" s="11" t="s">
        <v>77</v>
      </c>
      <c r="R4" s="11" t="s">
        <v>78</v>
      </c>
      <c r="S4" s="11" t="s">
        <v>79</v>
      </c>
      <c r="T4" s="11" t="s">
        <v>80</v>
      </c>
      <c r="U4" s="11" t="s">
        <v>81</v>
      </c>
      <c r="V4" s="11" t="s">
        <v>82</v>
      </c>
      <c r="W4" s="11" t="s">
        <v>83</v>
      </c>
      <c r="X4" s="11" t="s">
        <v>84</v>
      </c>
      <c r="Y4" s="11" t="s">
        <v>85</v>
      </c>
      <c r="Z4" s="11" t="s">
        <v>86</v>
      </c>
      <c r="AA4" s="11" t="s">
        <v>87</v>
      </c>
      <c r="AB4" s="11" t="s">
        <v>88</v>
      </c>
      <c r="AC4" s="11" t="s">
        <v>89</v>
      </c>
      <c r="AD4" s="11" t="s">
        <v>90</v>
      </c>
    </row>
    <row r="5" customFormat="false" ht="15" hidden="false" customHeight="false" outlineLevel="0" collapsed="false">
      <c r="A5" s="6" t="s">
        <v>6</v>
      </c>
      <c r="B5" s="6" t="s">
        <v>91</v>
      </c>
      <c r="C5" s="15" t="n">
        <v>1076</v>
      </c>
      <c r="D5" s="6"/>
      <c r="E5" s="16" t="n">
        <v>25</v>
      </c>
      <c r="F5" s="16" t="n">
        <v>7</v>
      </c>
      <c r="G5" s="16" t="n">
        <v>0</v>
      </c>
      <c r="H5" s="16" t="n">
        <v>0</v>
      </c>
      <c r="I5" s="16" t="n">
        <v>0</v>
      </c>
      <c r="J5" s="16" t="n">
        <v>0</v>
      </c>
      <c r="K5" s="16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4" t="n">
        <f aca="false">$C5*E5</f>
        <v>26900</v>
      </c>
      <c r="S5" s="14" t="n">
        <f aca="false">$C5*F5</f>
        <v>7532</v>
      </c>
      <c r="T5" s="14" t="n">
        <f aca="false">$C5*G5</f>
        <v>0</v>
      </c>
      <c r="U5" s="14" t="n">
        <f aca="false">$C5*H5</f>
        <v>0</v>
      </c>
      <c r="V5" s="14" t="n">
        <f aca="false">$C5*I5</f>
        <v>0</v>
      </c>
      <c r="W5" s="14" t="n">
        <f aca="false">$C5*J5</f>
        <v>0</v>
      </c>
      <c r="X5" s="14" t="n">
        <f aca="false">$C5*K5</f>
        <v>0</v>
      </c>
      <c r="Y5" s="14" t="n">
        <f aca="false">$C5*L5</f>
        <v>0</v>
      </c>
      <c r="Z5" s="14" t="n">
        <f aca="false">$C5*M5</f>
        <v>0</v>
      </c>
      <c r="AA5" s="14" t="n">
        <f aca="false">$C5*N5</f>
        <v>0</v>
      </c>
      <c r="AB5" s="14" t="n">
        <f aca="false">$C5*O5</f>
        <v>0</v>
      </c>
      <c r="AC5" s="14" t="n">
        <f aca="false">$C5*P5</f>
        <v>0</v>
      </c>
      <c r="AD5" s="14" t="n">
        <f aca="false">$C5*Q5</f>
        <v>0</v>
      </c>
    </row>
    <row r="6" customFormat="false" ht="15" hidden="false" customHeight="false" outlineLevel="0" collapsed="false">
      <c r="A6" s="6" t="s">
        <v>6</v>
      </c>
      <c r="B6" s="6" t="s">
        <v>92</v>
      </c>
      <c r="C6" s="15" t="n">
        <v>892</v>
      </c>
      <c r="D6" s="6" t="s">
        <v>93</v>
      </c>
      <c r="E6" s="16" t="n">
        <v>12</v>
      </c>
      <c r="F6" s="16" t="n">
        <v>3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  <c r="N6" s="16" t="n">
        <v>0</v>
      </c>
      <c r="O6" s="16" t="n">
        <v>0</v>
      </c>
      <c r="P6" s="16" t="n">
        <v>0</v>
      </c>
      <c r="Q6" s="16" t="n">
        <v>0</v>
      </c>
      <c r="R6" s="14" t="n">
        <f aca="false">$C6*E6</f>
        <v>10704</v>
      </c>
      <c r="S6" s="14" t="n">
        <f aca="false">$C6*F6</f>
        <v>2676</v>
      </c>
      <c r="T6" s="14" t="n">
        <f aca="false">$C6*G6</f>
        <v>0</v>
      </c>
      <c r="U6" s="14" t="n">
        <f aca="false">$C6*H6</f>
        <v>0</v>
      </c>
      <c r="V6" s="14" t="n">
        <f aca="false">$C6*I6</f>
        <v>0</v>
      </c>
      <c r="W6" s="14" t="n">
        <f aca="false">$C6*J6</f>
        <v>0</v>
      </c>
      <c r="X6" s="14" t="n">
        <f aca="false">$C6*K6</f>
        <v>0</v>
      </c>
      <c r="Y6" s="14" t="n">
        <f aca="false">$C6*L6</f>
        <v>0</v>
      </c>
      <c r="Z6" s="14" t="n">
        <f aca="false">$C6*M6</f>
        <v>0</v>
      </c>
      <c r="AA6" s="14" t="n">
        <f aca="false">$C6*N6</f>
        <v>0</v>
      </c>
      <c r="AB6" s="14" t="n">
        <f aca="false">$C6*O6</f>
        <v>0</v>
      </c>
      <c r="AC6" s="14" t="n">
        <f aca="false">$C6*P6</f>
        <v>0</v>
      </c>
      <c r="AD6" s="14" t="n">
        <f aca="false">$C6*Q6</f>
        <v>0</v>
      </c>
    </row>
    <row r="7" customFormat="false" ht="15" hidden="false" customHeight="false" outlineLevel="0" collapsed="false">
      <c r="A7" s="6" t="s">
        <v>6</v>
      </c>
      <c r="B7" s="6" t="s">
        <v>94</v>
      </c>
      <c r="C7" s="15" t="n">
        <v>684</v>
      </c>
      <c r="D7" s="6"/>
      <c r="E7" s="16" t="n">
        <v>25</v>
      </c>
      <c r="F7" s="16" t="n">
        <v>8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4" t="n">
        <f aca="false">$C7*E7</f>
        <v>17100</v>
      </c>
      <c r="S7" s="14" t="n">
        <f aca="false">$C7*F7</f>
        <v>5472</v>
      </c>
      <c r="T7" s="14" t="n">
        <f aca="false">$C7*G7</f>
        <v>0</v>
      </c>
      <c r="U7" s="14" t="n">
        <f aca="false">$C7*H7</f>
        <v>0</v>
      </c>
      <c r="V7" s="14" t="n">
        <f aca="false">$C7*I7</f>
        <v>0</v>
      </c>
      <c r="W7" s="14" t="n">
        <f aca="false">$C7*J7</f>
        <v>0</v>
      </c>
      <c r="X7" s="14" t="n">
        <f aca="false">$C7*K7</f>
        <v>0</v>
      </c>
      <c r="Y7" s="14" t="n">
        <f aca="false">$C7*L7</f>
        <v>0</v>
      </c>
      <c r="Z7" s="14" t="n">
        <f aca="false">$C7*M7</f>
        <v>0</v>
      </c>
      <c r="AA7" s="14" t="n">
        <f aca="false">$C7*N7</f>
        <v>0</v>
      </c>
      <c r="AB7" s="14" t="n">
        <f aca="false">$C7*O7</f>
        <v>0</v>
      </c>
      <c r="AC7" s="14" t="n">
        <f aca="false">$C7*P7</f>
        <v>0</v>
      </c>
      <c r="AD7" s="14" t="n">
        <f aca="false">$C7*Q7</f>
        <v>0</v>
      </c>
    </row>
    <row r="8" customFormat="false" ht="15" hidden="false" customHeight="false" outlineLevel="0" collapsed="false">
      <c r="A8" s="6" t="s">
        <v>6</v>
      </c>
      <c r="B8" s="6" t="s">
        <v>95</v>
      </c>
      <c r="C8" s="15" t="n">
        <v>629</v>
      </c>
      <c r="D8" s="6" t="s">
        <v>93</v>
      </c>
      <c r="E8" s="16" t="n">
        <v>18</v>
      </c>
      <c r="F8" s="16" t="n">
        <v>5</v>
      </c>
      <c r="G8" s="16" t="n">
        <v>0</v>
      </c>
      <c r="H8" s="16" t="n">
        <v>0</v>
      </c>
      <c r="I8" s="16" t="n">
        <v>0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0</v>
      </c>
      <c r="P8" s="16" t="n">
        <v>0</v>
      </c>
      <c r="Q8" s="16" t="n">
        <v>0</v>
      </c>
      <c r="R8" s="14" t="n">
        <f aca="false">$C8*E8</f>
        <v>11322</v>
      </c>
      <c r="S8" s="14" t="n">
        <f aca="false">$C8*F8</f>
        <v>3145</v>
      </c>
      <c r="T8" s="14" t="n">
        <f aca="false">$C8*G8</f>
        <v>0</v>
      </c>
      <c r="U8" s="14" t="n">
        <f aca="false">$C8*H8</f>
        <v>0</v>
      </c>
      <c r="V8" s="14" t="n">
        <f aca="false">$C8*I8</f>
        <v>0</v>
      </c>
      <c r="W8" s="14" t="n">
        <f aca="false">$C8*J8</f>
        <v>0</v>
      </c>
      <c r="X8" s="14" t="n">
        <f aca="false">$C8*K8</f>
        <v>0</v>
      </c>
      <c r="Y8" s="14" t="n">
        <f aca="false">$C8*L8</f>
        <v>0</v>
      </c>
      <c r="Z8" s="14" t="n">
        <f aca="false">$C8*M8</f>
        <v>0</v>
      </c>
      <c r="AA8" s="14" t="n">
        <f aca="false">$C8*N8</f>
        <v>0</v>
      </c>
      <c r="AB8" s="14" t="n">
        <f aca="false">$C8*O8</f>
        <v>0</v>
      </c>
      <c r="AC8" s="14" t="n">
        <f aca="false">$C8*P8</f>
        <v>0</v>
      </c>
      <c r="AD8" s="14" t="n">
        <f aca="false">$C8*Q8</f>
        <v>0</v>
      </c>
    </row>
    <row r="9" customFormat="false" ht="15" hidden="false" customHeight="false" outlineLevel="0" collapsed="false">
      <c r="A9" s="6" t="s">
        <v>6</v>
      </c>
      <c r="B9" s="6" t="s">
        <v>96</v>
      </c>
      <c r="C9" s="15" t="n">
        <v>346</v>
      </c>
      <c r="D9" s="6"/>
      <c r="E9" s="16" t="n">
        <v>25</v>
      </c>
      <c r="F9" s="16" t="n">
        <v>7</v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4" t="n">
        <f aca="false">$C9*E9</f>
        <v>8650</v>
      </c>
      <c r="S9" s="14" t="n">
        <f aca="false">$C9*F9</f>
        <v>2422</v>
      </c>
      <c r="T9" s="14" t="n">
        <f aca="false">$C9*G9</f>
        <v>0</v>
      </c>
      <c r="U9" s="14" t="n">
        <f aca="false">$C9*H9</f>
        <v>0</v>
      </c>
      <c r="V9" s="14" t="n">
        <f aca="false">$C9*I9</f>
        <v>0</v>
      </c>
      <c r="W9" s="14" t="n">
        <f aca="false">$C9*J9</f>
        <v>0</v>
      </c>
      <c r="X9" s="14" t="n">
        <f aca="false">$C9*K9</f>
        <v>0</v>
      </c>
      <c r="Y9" s="14" t="n">
        <f aca="false">$C9*L9</f>
        <v>0</v>
      </c>
      <c r="Z9" s="14" t="n">
        <f aca="false">$C9*M9</f>
        <v>0</v>
      </c>
      <c r="AA9" s="14" t="n">
        <f aca="false">$C9*N9</f>
        <v>0</v>
      </c>
      <c r="AB9" s="14" t="n">
        <f aca="false">$C9*O9</f>
        <v>0</v>
      </c>
      <c r="AC9" s="14" t="n">
        <f aca="false">$C9*P9</f>
        <v>0</v>
      </c>
      <c r="AD9" s="14" t="n">
        <f aca="false">$C9*Q9</f>
        <v>0</v>
      </c>
    </row>
    <row r="10" customFormat="false" ht="15" hidden="false" customHeight="false" outlineLevel="0" collapsed="false">
      <c r="A10" s="6" t="s">
        <v>6</v>
      </c>
      <c r="B10" s="6" t="s">
        <v>97</v>
      </c>
      <c r="C10" s="15" t="n">
        <v>344</v>
      </c>
      <c r="D10" s="6"/>
      <c r="E10" s="16" t="n">
        <v>50</v>
      </c>
      <c r="F10" s="16" t="n">
        <v>15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0</v>
      </c>
      <c r="Q10" s="16" t="n">
        <v>0</v>
      </c>
      <c r="R10" s="14" t="n">
        <f aca="false">$C10*E10</f>
        <v>17200</v>
      </c>
      <c r="S10" s="14" t="n">
        <f aca="false">$C10*F10</f>
        <v>5160</v>
      </c>
      <c r="T10" s="14" t="n">
        <f aca="false">$C10*G10</f>
        <v>0</v>
      </c>
      <c r="U10" s="14" t="n">
        <f aca="false">$C10*H10</f>
        <v>0</v>
      </c>
      <c r="V10" s="14" t="n">
        <f aca="false">$C10*I10</f>
        <v>0</v>
      </c>
      <c r="W10" s="14" t="n">
        <f aca="false">$C10*J10</f>
        <v>0</v>
      </c>
      <c r="X10" s="14" t="n">
        <f aca="false">$C10*K10</f>
        <v>0</v>
      </c>
      <c r="Y10" s="14" t="n">
        <f aca="false">$C10*L10</f>
        <v>0</v>
      </c>
      <c r="Z10" s="14" t="n">
        <f aca="false">$C10*M10</f>
        <v>0</v>
      </c>
      <c r="AA10" s="14" t="n">
        <f aca="false">$C10*N10</f>
        <v>0</v>
      </c>
      <c r="AB10" s="14" t="n">
        <f aca="false">$C10*O10</f>
        <v>0</v>
      </c>
      <c r="AC10" s="14" t="n">
        <f aca="false">$C10*P10</f>
        <v>0</v>
      </c>
      <c r="AD10" s="14" t="n">
        <f aca="false">$C10*Q10</f>
        <v>0</v>
      </c>
    </row>
    <row r="11" customFormat="false" ht="15" hidden="false" customHeight="false" outlineLevel="0" collapsed="false">
      <c r="A11" s="6" t="s">
        <v>6</v>
      </c>
      <c r="B11" s="6" t="s">
        <v>98</v>
      </c>
      <c r="C11" s="15" t="n">
        <v>308</v>
      </c>
      <c r="D11" s="6"/>
      <c r="E11" s="16" t="n">
        <v>35</v>
      </c>
      <c r="F11" s="16" t="n">
        <v>10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4" t="n">
        <f aca="false">$C11*E11</f>
        <v>10780</v>
      </c>
      <c r="S11" s="14" t="n">
        <f aca="false">$C11*F11</f>
        <v>3080</v>
      </c>
      <c r="T11" s="14" t="n">
        <f aca="false">$C11*G11</f>
        <v>0</v>
      </c>
      <c r="U11" s="14" t="n">
        <f aca="false">$C11*H11</f>
        <v>0</v>
      </c>
      <c r="V11" s="14" t="n">
        <f aca="false">$C11*I11</f>
        <v>0</v>
      </c>
      <c r="W11" s="14" t="n">
        <f aca="false">$C11*J11</f>
        <v>0</v>
      </c>
      <c r="X11" s="14" t="n">
        <f aca="false">$C11*K11</f>
        <v>0</v>
      </c>
      <c r="Y11" s="14" t="n">
        <f aca="false">$C11*L11</f>
        <v>0</v>
      </c>
      <c r="Z11" s="14" t="n">
        <f aca="false">$C11*M11</f>
        <v>0</v>
      </c>
      <c r="AA11" s="14" t="n">
        <f aca="false">$C11*N11</f>
        <v>0</v>
      </c>
      <c r="AB11" s="14" t="n">
        <f aca="false">$C11*O11</f>
        <v>0</v>
      </c>
      <c r="AC11" s="14" t="n">
        <f aca="false">$C11*P11</f>
        <v>0</v>
      </c>
      <c r="AD11" s="14" t="n">
        <f aca="false">$C11*Q11</f>
        <v>0</v>
      </c>
    </row>
    <row r="12" customFormat="false" ht="15" hidden="false" customHeight="false" outlineLevel="0" collapsed="false">
      <c r="A12" s="6" t="s">
        <v>6</v>
      </c>
      <c r="B12" s="6" t="s">
        <v>99</v>
      </c>
      <c r="C12" s="15" t="n">
        <v>166</v>
      </c>
      <c r="D12" s="6" t="s">
        <v>93</v>
      </c>
      <c r="E12" s="16" t="n">
        <v>13</v>
      </c>
      <c r="F12" s="16" t="n">
        <v>4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6" t="n">
        <v>0</v>
      </c>
      <c r="M12" s="16" t="n">
        <v>0</v>
      </c>
      <c r="N12" s="16" t="n">
        <v>0</v>
      </c>
      <c r="O12" s="16" t="n">
        <v>0</v>
      </c>
      <c r="P12" s="16" t="n">
        <v>0</v>
      </c>
      <c r="Q12" s="16" t="n">
        <v>0</v>
      </c>
      <c r="R12" s="14" t="n">
        <f aca="false">$C12*E12</f>
        <v>2158</v>
      </c>
      <c r="S12" s="14" t="n">
        <f aca="false">$C12*F12</f>
        <v>664</v>
      </c>
      <c r="T12" s="14" t="n">
        <f aca="false">$C12*G12</f>
        <v>0</v>
      </c>
      <c r="U12" s="14" t="n">
        <f aca="false">$C12*H12</f>
        <v>0</v>
      </c>
      <c r="V12" s="14" t="n">
        <f aca="false">$C12*I12</f>
        <v>0</v>
      </c>
      <c r="W12" s="14" t="n">
        <f aca="false">$C12*J12</f>
        <v>0</v>
      </c>
      <c r="X12" s="14" t="n">
        <f aca="false">$C12*K12</f>
        <v>0</v>
      </c>
      <c r="Y12" s="14" t="n">
        <f aca="false">$C12*L12</f>
        <v>0</v>
      </c>
      <c r="Z12" s="14" t="n">
        <f aca="false">$C12*M12</f>
        <v>0</v>
      </c>
      <c r="AA12" s="14" t="n">
        <f aca="false">$C12*N12</f>
        <v>0</v>
      </c>
      <c r="AB12" s="14" t="n">
        <f aca="false">$C12*O12</f>
        <v>0</v>
      </c>
      <c r="AC12" s="14" t="n">
        <f aca="false">$C12*P12</f>
        <v>0</v>
      </c>
      <c r="AD12" s="14" t="n">
        <f aca="false">$C12*Q12</f>
        <v>0</v>
      </c>
    </row>
    <row r="13" customFormat="false" ht="15" hidden="false" customHeight="false" outlineLevel="0" collapsed="false">
      <c r="A13" s="6" t="s">
        <v>6</v>
      </c>
      <c r="B13" s="6" t="s">
        <v>100</v>
      </c>
      <c r="C13" s="15" t="n">
        <v>94</v>
      </c>
      <c r="D13" s="6" t="s">
        <v>93</v>
      </c>
      <c r="E13" s="16" t="n">
        <v>13</v>
      </c>
      <c r="F13" s="16" t="n">
        <v>4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16" t="n">
        <v>0</v>
      </c>
      <c r="P13" s="16" t="n">
        <v>0</v>
      </c>
      <c r="Q13" s="16" t="n">
        <v>0</v>
      </c>
      <c r="R13" s="14" t="n">
        <f aca="false">$C13*E13</f>
        <v>1222</v>
      </c>
      <c r="S13" s="14" t="n">
        <f aca="false">$C13*F13</f>
        <v>376</v>
      </c>
      <c r="T13" s="14" t="n">
        <f aca="false">$C13*G13</f>
        <v>0</v>
      </c>
      <c r="U13" s="14" t="n">
        <f aca="false">$C13*H13</f>
        <v>0</v>
      </c>
      <c r="V13" s="14" t="n">
        <f aca="false">$C13*I13</f>
        <v>0</v>
      </c>
      <c r="W13" s="14" t="n">
        <f aca="false">$C13*J13</f>
        <v>0</v>
      </c>
      <c r="X13" s="14" t="n">
        <f aca="false">$C13*K13</f>
        <v>0</v>
      </c>
      <c r="Y13" s="14" t="n">
        <f aca="false">$C13*L13</f>
        <v>0</v>
      </c>
      <c r="Z13" s="14" t="n">
        <f aca="false">$C13*M13</f>
        <v>0</v>
      </c>
      <c r="AA13" s="14" t="n">
        <f aca="false">$C13*N13</f>
        <v>0</v>
      </c>
      <c r="AB13" s="14" t="n">
        <f aca="false">$C13*O13</f>
        <v>0</v>
      </c>
      <c r="AC13" s="14" t="n">
        <f aca="false">$C13*P13</f>
        <v>0</v>
      </c>
      <c r="AD13" s="14" t="n">
        <f aca="false">$C13*Q13</f>
        <v>0</v>
      </c>
    </row>
    <row r="14" customFormat="false" ht="15" hidden="false" customHeight="false" outlineLevel="0" collapsed="false">
      <c r="A14" s="6" t="s">
        <v>6</v>
      </c>
      <c r="B14" s="6" t="s">
        <v>101</v>
      </c>
      <c r="C14" s="15" t="n">
        <v>76</v>
      </c>
      <c r="D14" s="6" t="s">
        <v>93</v>
      </c>
      <c r="E14" s="16" t="n">
        <v>25</v>
      </c>
      <c r="F14" s="16" t="n">
        <v>7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4" t="n">
        <f aca="false">$C14*E14</f>
        <v>1900</v>
      </c>
      <c r="S14" s="14" t="n">
        <f aca="false">$C14*F14</f>
        <v>532</v>
      </c>
      <c r="T14" s="14" t="n">
        <f aca="false">$C14*G14</f>
        <v>0</v>
      </c>
      <c r="U14" s="14" t="n">
        <f aca="false">$C14*H14</f>
        <v>0</v>
      </c>
      <c r="V14" s="14" t="n">
        <f aca="false">$C14*I14</f>
        <v>0</v>
      </c>
      <c r="W14" s="14" t="n">
        <f aca="false">$C14*J14</f>
        <v>0</v>
      </c>
      <c r="X14" s="14" t="n">
        <f aca="false">$C14*K14</f>
        <v>0</v>
      </c>
      <c r="Y14" s="14" t="n">
        <f aca="false">$C14*L14</f>
        <v>0</v>
      </c>
      <c r="Z14" s="14" t="n">
        <f aca="false">$C14*M14</f>
        <v>0</v>
      </c>
      <c r="AA14" s="14" t="n">
        <f aca="false">$C14*N14</f>
        <v>0</v>
      </c>
      <c r="AB14" s="14" t="n">
        <f aca="false">$C14*O14</f>
        <v>0</v>
      </c>
      <c r="AC14" s="14" t="n">
        <f aca="false">$C14*P14</f>
        <v>0</v>
      </c>
      <c r="AD14" s="14" t="n">
        <f aca="false">$C14*Q14</f>
        <v>0</v>
      </c>
    </row>
    <row r="15" customFormat="false" ht="15" hidden="false" customHeight="false" outlineLevel="0" collapsed="false">
      <c r="A15" s="6" t="s">
        <v>6</v>
      </c>
      <c r="B15" s="6" t="s">
        <v>102</v>
      </c>
      <c r="C15" s="15" t="n">
        <v>43</v>
      </c>
      <c r="D15" s="6" t="s">
        <v>93</v>
      </c>
      <c r="E15" s="16" t="n">
        <v>7</v>
      </c>
      <c r="F15" s="16" t="n">
        <v>2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0</v>
      </c>
      <c r="O15" s="16" t="n">
        <v>0</v>
      </c>
      <c r="P15" s="16" t="n">
        <v>0</v>
      </c>
      <c r="Q15" s="16" t="n">
        <v>0</v>
      </c>
      <c r="R15" s="14" t="n">
        <f aca="false">$C15*E15</f>
        <v>301</v>
      </c>
      <c r="S15" s="14" t="n">
        <f aca="false">$C15*F15</f>
        <v>86</v>
      </c>
      <c r="T15" s="14" t="n">
        <f aca="false">$C15*G15</f>
        <v>0</v>
      </c>
      <c r="U15" s="14" t="n">
        <f aca="false">$C15*H15</f>
        <v>0</v>
      </c>
      <c r="V15" s="14" t="n">
        <f aca="false">$C15*I15</f>
        <v>0</v>
      </c>
      <c r="W15" s="14" t="n">
        <f aca="false">$C15*J15</f>
        <v>0</v>
      </c>
      <c r="X15" s="14" t="n">
        <f aca="false">$C15*K15</f>
        <v>0</v>
      </c>
      <c r="Y15" s="14" t="n">
        <f aca="false">$C15*L15</f>
        <v>0</v>
      </c>
      <c r="Z15" s="14" t="n">
        <f aca="false">$C15*M15</f>
        <v>0</v>
      </c>
      <c r="AA15" s="14" t="n">
        <f aca="false">$C15*N15</f>
        <v>0</v>
      </c>
      <c r="AB15" s="14" t="n">
        <f aca="false">$C15*O15</f>
        <v>0</v>
      </c>
      <c r="AC15" s="14" t="n">
        <f aca="false">$C15*P15</f>
        <v>0</v>
      </c>
      <c r="AD15" s="14" t="n">
        <f aca="false">$C15*Q15</f>
        <v>0</v>
      </c>
    </row>
    <row r="16" customFormat="false" ht="15" hidden="false" customHeight="false" outlineLevel="0" collapsed="false">
      <c r="A16" s="6" t="s">
        <v>6</v>
      </c>
      <c r="B16" s="6" t="s">
        <v>103</v>
      </c>
      <c r="C16" s="15" t="n">
        <v>6</v>
      </c>
      <c r="D16" s="6" t="s">
        <v>93</v>
      </c>
      <c r="E16" s="16" t="n">
        <v>50</v>
      </c>
      <c r="F16" s="16" t="n">
        <v>15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6" t="n">
        <v>0</v>
      </c>
      <c r="Q16" s="16" t="n">
        <v>0</v>
      </c>
      <c r="R16" s="14" t="n">
        <f aca="false">$C16*E16</f>
        <v>300</v>
      </c>
      <c r="S16" s="14" t="n">
        <f aca="false">$C16*F16</f>
        <v>90</v>
      </c>
      <c r="T16" s="14" t="n">
        <f aca="false">$C16*G16</f>
        <v>0</v>
      </c>
      <c r="U16" s="14" t="n">
        <f aca="false">$C16*H16</f>
        <v>0</v>
      </c>
      <c r="V16" s="14" t="n">
        <f aca="false">$C16*I16</f>
        <v>0</v>
      </c>
      <c r="W16" s="14" t="n">
        <f aca="false">$C16*J16</f>
        <v>0</v>
      </c>
      <c r="X16" s="14" t="n">
        <f aca="false">$C16*K16</f>
        <v>0</v>
      </c>
      <c r="Y16" s="14" t="n">
        <f aca="false">$C16*L16</f>
        <v>0</v>
      </c>
      <c r="Z16" s="14" t="n">
        <f aca="false">$C16*M16</f>
        <v>0</v>
      </c>
      <c r="AA16" s="14" t="n">
        <f aca="false">$C16*N16</f>
        <v>0</v>
      </c>
      <c r="AB16" s="14" t="n">
        <f aca="false">$C16*O16</f>
        <v>0</v>
      </c>
      <c r="AC16" s="14" t="n">
        <f aca="false">$C16*P16</f>
        <v>0</v>
      </c>
      <c r="AD16" s="14" t="n">
        <f aca="false">$C16*Q16</f>
        <v>0</v>
      </c>
    </row>
    <row r="17" customFormat="false" ht="15" hidden="false" customHeight="false" outlineLevel="0" collapsed="false">
      <c r="A17" s="6" t="s">
        <v>6</v>
      </c>
      <c r="B17" s="6" t="s">
        <v>104</v>
      </c>
      <c r="C17" s="15" t="n">
        <v>5</v>
      </c>
      <c r="D17" s="6" t="s">
        <v>93</v>
      </c>
      <c r="E17" s="16" t="n">
        <v>35</v>
      </c>
      <c r="F17" s="16" t="n">
        <v>10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0</v>
      </c>
      <c r="Q17" s="16" t="n">
        <v>0</v>
      </c>
      <c r="R17" s="14" t="n">
        <f aca="false">$C17*E17</f>
        <v>175</v>
      </c>
      <c r="S17" s="14" t="n">
        <f aca="false">$C17*F17</f>
        <v>50</v>
      </c>
      <c r="T17" s="14" t="n">
        <f aca="false">$C17*G17</f>
        <v>0</v>
      </c>
      <c r="U17" s="14" t="n">
        <f aca="false">$C17*H17</f>
        <v>0</v>
      </c>
      <c r="V17" s="14" t="n">
        <f aca="false">$C17*I17</f>
        <v>0</v>
      </c>
      <c r="W17" s="14" t="n">
        <f aca="false">$C17*J17</f>
        <v>0</v>
      </c>
      <c r="X17" s="14" t="n">
        <f aca="false">$C17*K17</f>
        <v>0</v>
      </c>
      <c r="Y17" s="14" t="n">
        <f aca="false">$C17*L17</f>
        <v>0</v>
      </c>
      <c r="Z17" s="14" t="n">
        <f aca="false">$C17*M17</f>
        <v>0</v>
      </c>
      <c r="AA17" s="14" t="n">
        <f aca="false">$C17*N17</f>
        <v>0</v>
      </c>
      <c r="AB17" s="14" t="n">
        <f aca="false">$C17*O17</f>
        <v>0</v>
      </c>
      <c r="AC17" s="14" t="n">
        <f aca="false">$C17*P17</f>
        <v>0</v>
      </c>
      <c r="AD17" s="14" t="n">
        <f aca="false">$C17*Q17</f>
        <v>0</v>
      </c>
    </row>
    <row r="18" customFormat="false" ht="15" hidden="false" customHeight="false" outlineLevel="0" collapsed="false">
      <c r="A18" s="6" t="s">
        <v>8</v>
      </c>
      <c r="B18" s="6" t="s">
        <v>105</v>
      </c>
      <c r="C18" s="15" t="n">
        <v>9</v>
      </c>
      <c r="D18" s="6" t="s">
        <v>93</v>
      </c>
      <c r="E18" s="16" t="n">
        <v>13</v>
      </c>
      <c r="F18" s="16" t="n">
        <v>4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  <c r="N18" s="16" t="n">
        <v>0</v>
      </c>
      <c r="O18" s="16" t="n">
        <v>0</v>
      </c>
      <c r="P18" s="16" t="n">
        <v>0</v>
      </c>
      <c r="Q18" s="16" t="n">
        <v>0</v>
      </c>
      <c r="R18" s="14" t="n">
        <f aca="false">$C18*E18</f>
        <v>117</v>
      </c>
      <c r="S18" s="14" t="n">
        <f aca="false">$C18*F18</f>
        <v>36</v>
      </c>
      <c r="T18" s="14" t="n">
        <f aca="false">$C18*G18</f>
        <v>0</v>
      </c>
      <c r="U18" s="14" t="n">
        <f aca="false">$C18*H18</f>
        <v>0</v>
      </c>
      <c r="V18" s="14" t="n">
        <f aca="false">$C18*I18</f>
        <v>0</v>
      </c>
      <c r="W18" s="14" t="n">
        <f aca="false">$C18*J18</f>
        <v>0</v>
      </c>
      <c r="X18" s="14" t="n">
        <f aca="false">$C18*K18</f>
        <v>0</v>
      </c>
      <c r="Y18" s="14" t="n">
        <f aca="false">$C18*L18</f>
        <v>0</v>
      </c>
      <c r="Z18" s="14" t="n">
        <f aca="false">$C18*M18</f>
        <v>0</v>
      </c>
      <c r="AA18" s="14" t="n">
        <f aca="false">$C18*N18</f>
        <v>0</v>
      </c>
      <c r="AB18" s="14" t="n">
        <f aca="false">$C18*O18</f>
        <v>0</v>
      </c>
      <c r="AC18" s="14" t="n">
        <f aca="false">$C18*P18</f>
        <v>0</v>
      </c>
      <c r="AD18" s="14" t="n">
        <f aca="false">$C18*Q18</f>
        <v>0</v>
      </c>
    </row>
    <row r="19" customFormat="false" ht="15" hidden="false" customHeight="false" outlineLevel="0" collapsed="false">
      <c r="A19" s="6" t="s">
        <v>10</v>
      </c>
      <c r="B19" s="6" t="s">
        <v>106</v>
      </c>
      <c r="C19" s="15" t="n">
        <v>74</v>
      </c>
      <c r="D19" s="6"/>
      <c r="E19" s="16" t="n">
        <v>25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20</v>
      </c>
      <c r="O19" s="16" t="n">
        <v>30</v>
      </c>
      <c r="P19" s="16" t="n">
        <v>0</v>
      </c>
      <c r="Q19" s="16" t="n">
        <v>0</v>
      </c>
      <c r="R19" s="14" t="n">
        <f aca="false">$C19*E19</f>
        <v>1850</v>
      </c>
      <c r="S19" s="14" t="n">
        <f aca="false">$C19*F19</f>
        <v>0</v>
      </c>
      <c r="T19" s="14" t="n">
        <f aca="false">$C19*G19</f>
        <v>0</v>
      </c>
      <c r="U19" s="14" t="n">
        <f aca="false">$C19*H19</f>
        <v>0</v>
      </c>
      <c r="V19" s="14" t="n">
        <f aca="false">$C19*I19</f>
        <v>0</v>
      </c>
      <c r="W19" s="14" t="n">
        <f aca="false">$C19*J19</f>
        <v>0</v>
      </c>
      <c r="X19" s="14" t="n">
        <f aca="false">$C19*K19</f>
        <v>0</v>
      </c>
      <c r="Y19" s="14" t="n">
        <f aca="false">$C19*L19</f>
        <v>0</v>
      </c>
      <c r="Z19" s="14" t="n">
        <f aca="false">$C19*M19</f>
        <v>0</v>
      </c>
      <c r="AA19" s="14" t="n">
        <f aca="false">$C19*N19</f>
        <v>1480</v>
      </c>
      <c r="AB19" s="14" t="n">
        <f aca="false">$C19*O19</f>
        <v>2220</v>
      </c>
      <c r="AC19" s="14" t="n">
        <f aca="false">$C19*P19</f>
        <v>0</v>
      </c>
      <c r="AD19" s="14" t="n">
        <f aca="false">$C19*Q19</f>
        <v>0</v>
      </c>
    </row>
    <row r="20" customFormat="false" ht="15" hidden="false" customHeight="false" outlineLevel="0" collapsed="false">
      <c r="A20" s="6" t="s">
        <v>12</v>
      </c>
      <c r="B20" s="6" t="s">
        <v>107</v>
      </c>
      <c r="C20" s="15" t="n">
        <v>96</v>
      </c>
      <c r="D20" s="6" t="s">
        <v>93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4</v>
      </c>
      <c r="P20" s="16" t="n">
        <v>7</v>
      </c>
      <c r="Q20" s="16" t="n">
        <v>4</v>
      </c>
      <c r="R20" s="14" t="n">
        <f aca="false">$C20*E20</f>
        <v>0</v>
      </c>
      <c r="S20" s="14" t="n">
        <f aca="false">$C20*F20</f>
        <v>0</v>
      </c>
      <c r="T20" s="14" t="n">
        <f aca="false">$C20*G20</f>
        <v>0</v>
      </c>
      <c r="U20" s="14" t="n">
        <f aca="false">$C20*H20</f>
        <v>0</v>
      </c>
      <c r="V20" s="14" t="n">
        <f aca="false">$C20*I20</f>
        <v>0</v>
      </c>
      <c r="W20" s="14" t="n">
        <f aca="false">$C20*J20</f>
        <v>0</v>
      </c>
      <c r="X20" s="14" t="n">
        <f aca="false">$C20*K20</f>
        <v>0</v>
      </c>
      <c r="Y20" s="14" t="n">
        <f aca="false">$C20*L20</f>
        <v>0</v>
      </c>
      <c r="Z20" s="14" t="n">
        <f aca="false">$C20*M20</f>
        <v>0</v>
      </c>
      <c r="AA20" s="14" t="n">
        <f aca="false">$C20*N20</f>
        <v>0</v>
      </c>
      <c r="AB20" s="14" t="n">
        <f aca="false">$C20*O20</f>
        <v>384</v>
      </c>
      <c r="AC20" s="14" t="n">
        <f aca="false">$C20*P20</f>
        <v>672</v>
      </c>
      <c r="AD20" s="14" t="n">
        <f aca="false">$C20*Q20</f>
        <v>384</v>
      </c>
    </row>
    <row r="21" customFormat="false" ht="15" hidden="false" customHeight="false" outlineLevel="0" collapsed="false">
      <c r="A21" s="6" t="s">
        <v>14</v>
      </c>
      <c r="B21" s="6" t="s">
        <v>108</v>
      </c>
      <c r="C21" s="15" t="n">
        <v>20</v>
      </c>
      <c r="D21" s="6"/>
      <c r="E21" s="16" t="n">
        <v>125</v>
      </c>
      <c r="F21" s="16" t="n">
        <v>0</v>
      </c>
      <c r="G21" s="16" t="n">
        <v>0</v>
      </c>
      <c r="H21" s="16" t="n">
        <v>55</v>
      </c>
      <c r="I21" s="16" t="n">
        <v>75</v>
      </c>
      <c r="J21" s="16" t="n">
        <v>3</v>
      </c>
      <c r="K21" s="16" t="n">
        <v>4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4" t="n">
        <f aca="false">$C21*E21</f>
        <v>2500</v>
      </c>
      <c r="S21" s="14" t="n">
        <f aca="false">$C21*F21</f>
        <v>0</v>
      </c>
      <c r="T21" s="14" t="n">
        <f aca="false">$C21*G21</f>
        <v>0</v>
      </c>
      <c r="U21" s="14" t="n">
        <f aca="false">$C21*H21</f>
        <v>1100</v>
      </c>
      <c r="V21" s="14" t="n">
        <f aca="false">$C21*I21</f>
        <v>1500</v>
      </c>
      <c r="W21" s="14" t="n">
        <f aca="false">$C21*J21</f>
        <v>60</v>
      </c>
      <c r="X21" s="14" t="n">
        <f aca="false">$C21*K21</f>
        <v>80</v>
      </c>
      <c r="Y21" s="14" t="n">
        <f aca="false">$C21*L21</f>
        <v>0</v>
      </c>
      <c r="Z21" s="14" t="n">
        <f aca="false">$C21*M21</f>
        <v>0</v>
      </c>
      <c r="AA21" s="14" t="n">
        <f aca="false">$C21*N21</f>
        <v>0</v>
      </c>
      <c r="AB21" s="14" t="n">
        <f aca="false">$C21*O21</f>
        <v>0</v>
      </c>
      <c r="AC21" s="14" t="n">
        <f aca="false">$C21*P21</f>
        <v>0</v>
      </c>
      <c r="AD21" s="14" t="n">
        <f aca="false">$C21*Q21</f>
        <v>0</v>
      </c>
    </row>
    <row r="22" customFormat="false" ht="15" hidden="false" customHeight="false" outlineLevel="0" collapsed="false">
      <c r="A22" s="6" t="s">
        <v>14</v>
      </c>
      <c r="B22" s="6" t="s">
        <v>109</v>
      </c>
      <c r="C22" s="15" t="n">
        <v>20</v>
      </c>
      <c r="D22" s="6" t="s">
        <v>93</v>
      </c>
      <c r="E22" s="16" t="n">
        <v>500</v>
      </c>
      <c r="F22" s="16" t="n">
        <v>100</v>
      </c>
      <c r="G22" s="16" t="n">
        <v>0</v>
      </c>
      <c r="H22" s="16" t="n">
        <v>90</v>
      </c>
      <c r="I22" s="16" t="n">
        <v>0</v>
      </c>
      <c r="J22" s="16" t="n">
        <v>0</v>
      </c>
      <c r="K22" s="16" t="n">
        <v>0</v>
      </c>
      <c r="L22" s="16" t="n">
        <v>70</v>
      </c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0</v>
      </c>
      <c r="R22" s="14" t="n">
        <f aca="false">$C22*E22</f>
        <v>10000</v>
      </c>
      <c r="S22" s="14" t="n">
        <f aca="false">$C22*F22</f>
        <v>2000</v>
      </c>
      <c r="T22" s="14" t="n">
        <f aca="false">$C22*G22</f>
        <v>0</v>
      </c>
      <c r="U22" s="14" t="n">
        <f aca="false">$C22*H22</f>
        <v>1800</v>
      </c>
      <c r="V22" s="14" t="n">
        <f aca="false">$C22*I22</f>
        <v>0</v>
      </c>
      <c r="W22" s="14" t="n">
        <f aca="false">$C22*J22</f>
        <v>0</v>
      </c>
      <c r="X22" s="14" t="n">
        <f aca="false">$C22*K22</f>
        <v>0</v>
      </c>
      <c r="Y22" s="14" t="n">
        <f aca="false">$C22*L22</f>
        <v>1400</v>
      </c>
      <c r="Z22" s="14" t="n">
        <f aca="false">$C22*M22</f>
        <v>0</v>
      </c>
      <c r="AA22" s="14" t="n">
        <f aca="false">$C22*N22</f>
        <v>0</v>
      </c>
      <c r="AB22" s="14" t="n">
        <f aca="false">$C22*O22</f>
        <v>0</v>
      </c>
      <c r="AC22" s="14" t="n">
        <f aca="false">$C22*P22</f>
        <v>0</v>
      </c>
      <c r="AD22" s="14" t="n">
        <f aca="false">$C22*Q22</f>
        <v>0</v>
      </c>
    </row>
    <row r="23" customFormat="false" ht="15" hidden="false" customHeight="false" outlineLevel="0" collapsed="false">
      <c r="A23" s="6" t="s">
        <v>14</v>
      </c>
      <c r="B23" s="6" t="s">
        <v>110</v>
      </c>
      <c r="C23" s="15" t="n">
        <v>2</v>
      </c>
      <c r="D23" s="6"/>
      <c r="E23" s="16" t="n">
        <v>2400</v>
      </c>
      <c r="F23" s="16" t="n">
        <v>0</v>
      </c>
      <c r="G23" s="16" t="n">
        <v>0</v>
      </c>
      <c r="H23" s="16" t="n">
        <v>500</v>
      </c>
      <c r="I23" s="16" t="n">
        <v>250</v>
      </c>
      <c r="J23" s="16" t="n">
        <v>30</v>
      </c>
      <c r="K23" s="16" t="n">
        <v>120</v>
      </c>
      <c r="L23" s="16" t="n">
        <v>0</v>
      </c>
      <c r="M23" s="16" t="n">
        <v>0</v>
      </c>
      <c r="N23" s="16" t="n">
        <v>0</v>
      </c>
      <c r="O23" s="16" t="n">
        <v>0</v>
      </c>
      <c r="P23" s="16" t="n">
        <v>0</v>
      </c>
      <c r="Q23" s="16" t="n">
        <v>0</v>
      </c>
      <c r="R23" s="14" t="n">
        <f aca="false">$C23*E23</f>
        <v>4800</v>
      </c>
      <c r="S23" s="14" t="n">
        <f aca="false">$C23*F23</f>
        <v>0</v>
      </c>
      <c r="T23" s="14" t="n">
        <f aca="false">$C23*G23</f>
        <v>0</v>
      </c>
      <c r="U23" s="14" t="n">
        <f aca="false">$C23*H23</f>
        <v>1000</v>
      </c>
      <c r="V23" s="14" t="n">
        <f aca="false">$C23*I23</f>
        <v>500</v>
      </c>
      <c r="W23" s="14" t="n">
        <f aca="false">$C23*J23</f>
        <v>60</v>
      </c>
      <c r="X23" s="14" t="n">
        <f aca="false">$C23*K23</f>
        <v>240</v>
      </c>
      <c r="Y23" s="14" t="n">
        <f aca="false">$C23*L23</f>
        <v>0</v>
      </c>
      <c r="Z23" s="14" t="n">
        <f aca="false">$C23*M23</f>
        <v>0</v>
      </c>
      <c r="AA23" s="14" t="n">
        <f aca="false">$C23*N23</f>
        <v>0</v>
      </c>
      <c r="AB23" s="14" t="n">
        <f aca="false">$C23*O23</f>
        <v>0</v>
      </c>
      <c r="AC23" s="14" t="n">
        <f aca="false">$C23*P23</f>
        <v>0</v>
      </c>
      <c r="AD23" s="14" t="n">
        <f aca="false">$C23*Q23</f>
        <v>0</v>
      </c>
    </row>
    <row r="24" customFormat="false" ht="15" hidden="false" customHeight="false" outlineLevel="0" collapsed="false">
      <c r="A24" s="6" t="s">
        <v>14</v>
      </c>
      <c r="B24" s="6" t="s">
        <v>111</v>
      </c>
      <c r="C24" s="15" t="n">
        <v>1</v>
      </c>
      <c r="D24" s="6"/>
      <c r="E24" s="16" t="n">
        <v>5000</v>
      </c>
      <c r="F24" s="16" t="n">
        <v>0</v>
      </c>
      <c r="G24" s="16" t="n">
        <v>0</v>
      </c>
      <c r="H24" s="16" t="n">
        <v>800</v>
      </c>
      <c r="I24" s="16" t="n">
        <v>600</v>
      </c>
      <c r="J24" s="16" t="n">
        <v>100</v>
      </c>
      <c r="K24" s="16" t="n">
        <v>150</v>
      </c>
      <c r="L24" s="16" t="n">
        <v>0</v>
      </c>
      <c r="M24" s="16" t="n">
        <v>0</v>
      </c>
      <c r="N24" s="16" t="n">
        <v>0</v>
      </c>
      <c r="O24" s="16" t="n">
        <v>0</v>
      </c>
      <c r="P24" s="16" t="n">
        <v>0</v>
      </c>
      <c r="Q24" s="16" t="n">
        <v>0</v>
      </c>
      <c r="R24" s="14" t="n">
        <f aca="false">$C24*E24</f>
        <v>5000</v>
      </c>
      <c r="S24" s="14" t="n">
        <f aca="false">$C24*F24</f>
        <v>0</v>
      </c>
      <c r="T24" s="14" t="n">
        <f aca="false">$C24*G24</f>
        <v>0</v>
      </c>
      <c r="U24" s="14" t="n">
        <f aca="false">$C24*H24</f>
        <v>800</v>
      </c>
      <c r="V24" s="14" t="n">
        <f aca="false">$C24*I24</f>
        <v>600</v>
      </c>
      <c r="W24" s="14" t="n">
        <f aca="false">$C24*J24</f>
        <v>100</v>
      </c>
      <c r="X24" s="14" t="n">
        <f aca="false">$C24*K24</f>
        <v>150</v>
      </c>
      <c r="Y24" s="14" t="n">
        <f aca="false">$C24*L24</f>
        <v>0</v>
      </c>
      <c r="Z24" s="14" t="n">
        <f aca="false">$C24*M24</f>
        <v>0</v>
      </c>
      <c r="AA24" s="14" t="n">
        <f aca="false">$C24*N24</f>
        <v>0</v>
      </c>
      <c r="AB24" s="14" t="n">
        <f aca="false">$C24*O24</f>
        <v>0</v>
      </c>
      <c r="AC24" s="14" t="n">
        <f aca="false">$C24*P24</f>
        <v>0</v>
      </c>
      <c r="AD24" s="14" t="n">
        <f aca="false">$C24*Q24</f>
        <v>0</v>
      </c>
    </row>
    <row r="25" customFormat="false" ht="15" hidden="false" customHeight="false" outlineLevel="0" collapsed="false">
      <c r="A25" s="6" t="s">
        <v>14</v>
      </c>
      <c r="B25" s="6" t="s">
        <v>112</v>
      </c>
      <c r="C25" s="15" t="n">
        <v>1</v>
      </c>
      <c r="D25" s="6"/>
      <c r="E25" s="16" t="n">
        <v>3250</v>
      </c>
      <c r="F25" s="16" t="n">
        <v>600</v>
      </c>
      <c r="G25" s="16" t="n">
        <v>200</v>
      </c>
      <c r="H25" s="16" t="n">
        <v>1000</v>
      </c>
      <c r="I25" s="16" t="n">
        <v>500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4" t="n">
        <f aca="false">$C25*E25</f>
        <v>3250</v>
      </c>
      <c r="S25" s="14" t="n">
        <f aca="false">$C25*F25</f>
        <v>600</v>
      </c>
      <c r="T25" s="14" t="n">
        <f aca="false">$C25*G25</f>
        <v>200</v>
      </c>
      <c r="U25" s="14" t="n">
        <f aca="false">$C25*H25</f>
        <v>1000</v>
      </c>
      <c r="V25" s="14" t="n">
        <f aca="false">$C25*I25</f>
        <v>500</v>
      </c>
      <c r="W25" s="14" t="n">
        <f aca="false">$C25*J25</f>
        <v>0</v>
      </c>
      <c r="X25" s="14" t="n">
        <f aca="false">$C25*K25</f>
        <v>0</v>
      </c>
      <c r="Y25" s="14" t="n">
        <f aca="false">$C25*L25</f>
        <v>0</v>
      </c>
      <c r="Z25" s="14" t="n">
        <f aca="false">$C25*M25</f>
        <v>0</v>
      </c>
      <c r="AA25" s="14" t="n">
        <f aca="false">$C25*N25</f>
        <v>0</v>
      </c>
      <c r="AB25" s="14" t="n">
        <f aca="false">$C25*O25</f>
        <v>0</v>
      </c>
      <c r="AC25" s="14" t="n">
        <f aca="false">$C25*P25</f>
        <v>0</v>
      </c>
      <c r="AD25" s="14" t="n">
        <f aca="false">$C25*Q25</f>
        <v>0</v>
      </c>
    </row>
    <row r="26" customFormat="false" ht="15" hidden="false" customHeight="false" outlineLevel="0" collapsed="false">
      <c r="A26" s="6" t="s">
        <v>14</v>
      </c>
      <c r="B26" s="6" t="s">
        <v>113</v>
      </c>
      <c r="C26" s="15" t="n">
        <v>1</v>
      </c>
      <c r="D26" s="6"/>
      <c r="E26" s="16" t="n">
        <v>450</v>
      </c>
      <c r="F26" s="16" t="n">
        <v>300</v>
      </c>
      <c r="G26" s="16" t="n">
        <v>20</v>
      </c>
      <c r="H26" s="16" t="n">
        <v>150</v>
      </c>
      <c r="I26" s="16" t="n">
        <v>250</v>
      </c>
      <c r="J26" s="16" t="n">
        <v>0</v>
      </c>
      <c r="K26" s="16" t="n">
        <v>0</v>
      </c>
      <c r="L26" s="16" t="n">
        <v>0</v>
      </c>
      <c r="M26" s="16" t="n">
        <v>100</v>
      </c>
      <c r="N26" s="16" t="n">
        <v>0</v>
      </c>
      <c r="O26" s="16" t="n">
        <v>0</v>
      </c>
      <c r="P26" s="16" t="n">
        <v>0</v>
      </c>
      <c r="Q26" s="16" t="n">
        <v>0</v>
      </c>
      <c r="R26" s="14" t="n">
        <f aca="false">$C26*E26</f>
        <v>450</v>
      </c>
      <c r="S26" s="14" t="n">
        <f aca="false">$C26*F26</f>
        <v>300</v>
      </c>
      <c r="T26" s="14" t="n">
        <f aca="false">$C26*G26</f>
        <v>20</v>
      </c>
      <c r="U26" s="14" t="n">
        <f aca="false">$C26*H26</f>
        <v>150</v>
      </c>
      <c r="V26" s="14" t="n">
        <f aca="false">$C26*I26</f>
        <v>250</v>
      </c>
      <c r="W26" s="14" t="n">
        <f aca="false">$C26*J26</f>
        <v>0</v>
      </c>
      <c r="X26" s="14" t="n">
        <f aca="false">$C26*K26</f>
        <v>0</v>
      </c>
      <c r="Y26" s="14" t="n">
        <f aca="false">$C26*L26</f>
        <v>0</v>
      </c>
      <c r="Z26" s="14" t="n">
        <f aca="false">$C26*M26</f>
        <v>100</v>
      </c>
      <c r="AA26" s="14" t="n">
        <f aca="false">$C26*N26</f>
        <v>0</v>
      </c>
      <c r="AB26" s="14" t="n">
        <f aca="false">$C26*O26</f>
        <v>0</v>
      </c>
      <c r="AC26" s="14" t="n">
        <f aca="false">$C26*P26</f>
        <v>0</v>
      </c>
      <c r="AD26" s="14" t="n">
        <f aca="false">$C26*Q26</f>
        <v>0</v>
      </c>
    </row>
    <row r="27" customFormat="false" ht="15" hidden="false" customHeight="false" outlineLevel="0" collapsed="false">
      <c r="A27" s="6" t="s">
        <v>16</v>
      </c>
      <c r="B27" s="6" t="s">
        <v>114</v>
      </c>
      <c r="C27" s="15" t="n">
        <v>60</v>
      </c>
      <c r="D27" s="6"/>
      <c r="E27" s="16" t="n">
        <v>540</v>
      </c>
      <c r="F27" s="16" t="n">
        <v>200</v>
      </c>
      <c r="G27" s="16" t="n">
        <v>270</v>
      </c>
      <c r="H27" s="16" t="n">
        <v>70</v>
      </c>
      <c r="I27" s="16" t="n">
        <v>0</v>
      </c>
      <c r="J27" s="16" t="n">
        <v>0</v>
      </c>
      <c r="K27" s="16" t="n">
        <v>0</v>
      </c>
      <c r="L27" s="16" t="n">
        <v>0</v>
      </c>
      <c r="M27" s="16" t="n">
        <v>0</v>
      </c>
      <c r="N27" s="16" t="n">
        <v>0</v>
      </c>
      <c r="O27" s="16" t="n">
        <v>0</v>
      </c>
      <c r="P27" s="16" t="n">
        <v>0</v>
      </c>
      <c r="Q27" s="16" t="n">
        <v>0</v>
      </c>
      <c r="R27" s="14" t="n">
        <f aca="false">$C27*E27</f>
        <v>32400</v>
      </c>
      <c r="S27" s="14" t="n">
        <f aca="false">$C27*F27</f>
        <v>12000</v>
      </c>
      <c r="T27" s="14" t="n">
        <f aca="false">$C27*G27</f>
        <v>16200</v>
      </c>
      <c r="U27" s="14" t="n">
        <f aca="false">$C27*H27</f>
        <v>4200</v>
      </c>
      <c r="V27" s="14" t="n">
        <f aca="false">$C27*I27</f>
        <v>0</v>
      </c>
      <c r="W27" s="14" t="n">
        <f aca="false">$C27*J27</f>
        <v>0</v>
      </c>
      <c r="X27" s="14" t="n">
        <f aca="false">$C27*K27</f>
        <v>0</v>
      </c>
      <c r="Y27" s="14" t="n">
        <f aca="false">$C27*L27</f>
        <v>0</v>
      </c>
      <c r="Z27" s="14" t="n">
        <f aca="false">$C27*M27</f>
        <v>0</v>
      </c>
      <c r="AA27" s="14" t="n">
        <f aca="false">$C27*N27</f>
        <v>0</v>
      </c>
      <c r="AB27" s="14" t="n">
        <f aca="false">$C27*O27</f>
        <v>0</v>
      </c>
      <c r="AC27" s="14" t="n">
        <f aca="false">$C27*P27</f>
        <v>0</v>
      </c>
      <c r="AD27" s="14" t="n">
        <f aca="false">$C27*Q27</f>
        <v>0</v>
      </c>
    </row>
    <row r="28" customFormat="false" ht="15" hidden="false" customHeight="false" outlineLevel="0" collapsed="false">
      <c r="A28" s="6" t="s">
        <v>16</v>
      </c>
      <c r="B28" s="6" t="s">
        <v>115</v>
      </c>
      <c r="C28" s="15" t="n">
        <v>30</v>
      </c>
      <c r="D28" s="6"/>
      <c r="E28" s="16" t="n">
        <v>100</v>
      </c>
      <c r="F28" s="16" t="n">
        <v>50</v>
      </c>
      <c r="G28" s="16" t="n">
        <v>100</v>
      </c>
      <c r="H28" s="16" t="n">
        <v>50</v>
      </c>
      <c r="I28" s="16" t="n">
        <v>0</v>
      </c>
      <c r="J28" s="16" t="n">
        <v>3</v>
      </c>
      <c r="K28" s="16" t="n">
        <v>0</v>
      </c>
      <c r="L28" s="16" t="n">
        <v>0</v>
      </c>
      <c r="M28" s="16" t="n">
        <v>0</v>
      </c>
      <c r="N28" s="16" t="n">
        <v>0</v>
      </c>
      <c r="O28" s="16" t="n">
        <v>0</v>
      </c>
      <c r="P28" s="16" t="n">
        <v>0</v>
      </c>
      <c r="Q28" s="16" t="n">
        <v>0</v>
      </c>
      <c r="R28" s="14" t="n">
        <f aca="false">$C28*E28</f>
        <v>3000</v>
      </c>
      <c r="S28" s="14" t="n">
        <f aca="false">$C28*F28</f>
        <v>1500</v>
      </c>
      <c r="T28" s="14" t="n">
        <f aca="false">$C28*G28</f>
        <v>3000</v>
      </c>
      <c r="U28" s="14" t="n">
        <f aca="false">$C28*H28</f>
        <v>1500</v>
      </c>
      <c r="V28" s="14" t="n">
        <f aca="false">$C28*I28</f>
        <v>0</v>
      </c>
      <c r="W28" s="14" t="n">
        <f aca="false">$C28*J28</f>
        <v>90</v>
      </c>
      <c r="X28" s="14" t="n">
        <f aca="false">$C28*K28</f>
        <v>0</v>
      </c>
      <c r="Y28" s="14" t="n">
        <f aca="false">$C28*L28</f>
        <v>0</v>
      </c>
      <c r="Z28" s="14" t="n">
        <f aca="false">$C28*M28</f>
        <v>0</v>
      </c>
      <c r="AA28" s="14" t="n">
        <f aca="false">$C28*N28</f>
        <v>0</v>
      </c>
      <c r="AB28" s="14" t="n">
        <f aca="false">$C28*O28</f>
        <v>0</v>
      </c>
      <c r="AC28" s="14" t="n">
        <f aca="false">$C28*P28</f>
        <v>0</v>
      </c>
      <c r="AD28" s="14" t="n">
        <f aca="false">$C28*Q28</f>
        <v>0</v>
      </c>
    </row>
    <row r="29" customFormat="false" ht="15" hidden="false" customHeight="false" outlineLevel="0" collapsed="false">
      <c r="A29" s="6" t="s">
        <v>16</v>
      </c>
      <c r="B29" s="6" t="s">
        <v>116</v>
      </c>
      <c r="C29" s="15" t="n">
        <v>6</v>
      </c>
      <c r="D29" s="6"/>
      <c r="E29" s="16" t="n">
        <v>500</v>
      </c>
      <c r="F29" s="16" t="n">
        <v>0</v>
      </c>
      <c r="G29" s="16" t="n">
        <v>100</v>
      </c>
      <c r="H29" s="16" t="n">
        <v>300</v>
      </c>
      <c r="I29" s="16" t="n">
        <v>200</v>
      </c>
      <c r="J29" s="16" t="n">
        <v>0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0</v>
      </c>
      <c r="Q29" s="16" t="n">
        <v>0</v>
      </c>
      <c r="R29" s="14" t="n">
        <f aca="false">$C29*E29</f>
        <v>3000</v>
      </c>
      <c r="S29" s="14" t="n">
        <f aca="false">$C29*F29</f>
        <v>0</v>
      </c>
      <c r="T29" s="14" t="n">
        <f aca="false">$C29*G29</f>
        <v>600</v>
      </c>
      <c r="U29" s="14" t="n">
        <f aca="false">$C29*H29</f>
        <v>1800</v>
      </c>
      <c r="V29" s="14" t="n">
        <f aca="false">$C29*I29</f>
        <v>1200</v>
      </c>
      <c r="W29" s="14" t="n">
        <f aca="false">$C29*J29</f>
        <v>0</v>
      </c>
      <c r="X29" s="14" t="n">
        <f aca="false">$C29*K29</f>
        <v>0</v>
      </c>
      <c r="Y29" s="14" t="n">
        <f aca="false">$C29*L29</f>
        <v>0</v>
      </c>
      <c r="Z29" s="14" t="n">
        <f aca="false">$C29*M29</f>
        <v>0</v>
      </c>
      <c r="AA29" s="14" t="n">
        <f aca="false">$C29*N29</f>
        <v>0</v>
      </c>
      <c r="AB29" s="14" t="n">
        <f aca="false">$C29*O29</f>
        <v>0</v>
      </c>
      <c r="AC29" s="14" t="n">
        <f aca="false">$C29*P29</f>
        <v>0</v>
      </c>
      <c r="AD29" s="14" t="n">
        <f aca="false">$C29*Q29</f>
        <v>0</v>
      </c>
    </row>
    <row r="30" customFormat="false" ht="15" hidden="false" customHeight="false" outlineLevel="0" collapsed="false">
      <c r="A30" s="8" t="s">
        <v>117</v>
      </c>
      <c r="B30" s="17"/>
      <c r="C30" s="8" t="n">
        <f aca="false">SUM(C5:C29)</f>
        <v>4989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9" t="n">
        <f aca="false">SUM(R5:R29)</f>
        <v>175079</v>
      </c>
      <c r="S30" s="9" t="n">
        <f aca="false">SUM(S5:S29)</f>
        <v>47721</v>
      </c>
      <c r="T30" s="9" t="n">
        <f aca="false">SUM(T5:T29)</f>
        <v>20020</v>
      </c>
      <c r="U30" s="9" t="n">
        <f aca="false">SUM(U5:U29)</f>
        <v>13350</v>
      </c>
      <c r="V30" s="9" t="n">
        <f aca="false">SUM(V5:V29)</f>
        <v>4550</v>
      </c>
      <c r="W30" s="9" t="n">
        <f aca="false">SUM(W5:W29)</f>
        <v>310</v>
      </c>
      <c r="X30" s="9" t="n">
        <f aca="false">SUM(X5:X29)</f>
        <v>470</v>
      </c>
      <c r="Y30" s="9" t="n">
        <f aca="false">SUM(Y5:Y29)</f>
        <v>1400</v>
      </c>
      <c r="Z30" s="9" t="n">
        <f aca="false">SUM(Z5:Z29)</f>
        <v>100</v>
      </c>
      <c r="AA30" s="9" t="n">
        <f aca="false">SUM(AA5:AA29)</f>
        <v>1480</v>
      </c>
      <c r="AB30" s="9" t="n">
        <f aca="false">SUM(AB5:AB29)</f>
        <v>2604</v>
      </c>
      <c r="AC30" s="9" t="n">
        <f aca="false">SUM(AC5:AC29)</f>
        <v>672</v>
      </c>
      <c r="AD30" s="9" t="n">
        <f aca="false">SUM(AD5:AD29)</f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7" min="2" style="0" width="11"/>
  </cols>
  <sheetData>
    <row r="1" customFormat="false" ht="17.35" hidden="false" customHeight="false" outlineLevel="0" collapsed="false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119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4" t="s">
        <v>120</v>
      </c>
      <c r="B4" s="18" t="n">
        <f aca="false">INDEX(Détail!$E$5:$E$29,MATCH("Mur métal",Détail!$B$5:$B$29,0))</f>
        <v>25</v>
      </c>
      <c r="C4" s="18" t="n">
        <f aca="false">INDEX(Détail!$E$5:$E$29,MATCH("Rampe inclinée métal (Sloped Railing)",Détail!$B$5:$B$29,0))</f>
        <v>12</v>
      </c>
      <c r="D4" s="18" t="n">
        <f aca="false">INDEX(Détail!$E$5:$E$29,MATCH("Fondation triangle métal",Détail!$B$5:$B$29,0))</f>
        <v>25</v>
      </c>
      <c r="E4" s="18" t="n">
        <f aca="false">INDEX(Détail!$E$5:$E$29,MATCH("Plafond triangle métal",Détail!$B$5:$B$29,0))</f>
        <v>18</v>
      </c>
      <c r="F4" s="18" t="n">
        <f aca="false">INDEX(Détail!$E$5:$E$29,MATCH("Pilier métal",Détail!$B$5:$B$29,0))</f>
        <v>25</v>
      </c>
      <c r="G4" s="18" t="n">
        <f aca="false">INDEX(Détail!$E$5:$E$29,MATCH("Fondation métal",Détail!$B$5:$B$29,0))</f>
        <v>50</v>
      </c>
      <c r="H4" s="18" t="n">
        <f aca="false">INDEX(Détail!$E$5:$E$29,MATCH("Plafond métal",Détail!$B$5:$B$29,0))</f>
        <v>35</v>
      </c>
      <c r="I4" s="18" t="n">
        <f aca="false">INDEX(Détail!$E$5:$E$29,MATCH("Pilier fin métal (Thin Pillar)",Détail!$B$5:$B$29,0))</f>
        <v>13</v>
      </c>
      <c r="J4" s="18" t="n">
        <f aca="false">INDEX(Détail!$E$5:$E$29,MATCH("Pilier fin couché métal (Flat Thin Pillar)",Détail!$B$5:$B$29,0))</f>
        <v>13</v>
      </c>
      <c r="K4" s="18" t="n">
        <f aca="false">INDEX(Détail!$E$5:$E$29,MATCH("Cadre de porte double métal",Détail!$B$5:$B$29,0))</f>
        <v>25</v>
      </c>
      <c r="L4" s="18" t="n">
        <f aca="false">INDEX(Détail!$E$5:$E$29,MATCH("Demi-pilier fin métal (Half Thin Pillar)",Détail!$B$5:$B$29,0))</f>
        <v>7</v>
      </c>
      <c r="M4" s="18" t="n">
        <f aca="false">INDEX(Détail!$E$5:$E$29,MATCH("Escalier métal",Détail!$B$5:$B$29,0))</f>
        <v>50</v>
      </c>
      <c r="N4" s="18" t="n">
        <f aca="false">INDEX(Détail!$E$5:$E$29,MATCH("Plafond à trappe métal",Détail!$B$5:$B$29,0))</f>
        <v>35</v>
      </c>
      <c r="O4" s="2"/>
      <c r="P4" s="2"/>
      <c r="Q4" s="2"/>
    </row>
    <row r="5" customFormat="false" ht="15" hidden="false" customHeight="false" outlineLevel="0" collapsed="false">
      <c r="A5" s="4" t="s">
        <v>121</v>
      </c>
      <c r="B5" s="18" t="n">
        <f aca="false">INDEX(Détail!$F$5:$F$29,MATCH("Mur métal",Détail!$B$5:$B$29,0))</f>
        <v>7</v>
      </c>
      <c r="C5" s="18" t="n">
        <f aca="false">INDEX(Détail!$F$5:$F$29,MATCH("Rampe inclinée métal (Sloped Railing)",Détail!$B$5:$B$29,0))</f>
        <v>3</v>
      </c>
      <c r="D5" s="18" t="n">
        <f aca="false">INDEX(Détail!$F$5:$F$29,MATCH("Fondation triangle métal",Détail!$B$5:$B$29,0))</f>
        <v>8</v>
      </c>
      <c r="E5" s="18" t="n">
        <f aca="false">INDEX(Détail!$F$5:$F$29,MATCH("Plafond triangle métal",Détail!$B$5:$B$29,0))</f>
        <v>5</v>
      </c>
      <c r="F5" s="18" t="n">
        <f aca="false">INDEX(Détail!$F$5:$F$29,MATCH("Pilier métal",Détail!$B$5:$B$29,0))</f>
        <v>7</v>
      </c>
      <c r="G5" s="18" t="n">
        <f aca="false">INDEX(Détail!$F$5:$F$29,MATCH("Fondation métal",Détail!$B$5:$B$29,0))</f>
        <v>15</v>
      </c>
      <c r="H5" s="18" t="n">
        <f aca="false">INDEX(Détail!$F$5:$F$29,MATCH("Plafond métal",Détail!$B$5:$B$29,0))</f>
        <v>10</v>
      </c>
      <c r="I5" s="18" t="n">
        <f aca="false">INDEX(Détail!$F$5:$F$29,MATCH("Pilier fin métal (Thin Pillar)",Détail!$B$5:$B$29,0))</f>
        <v>4</v>
      </c>
      <c r="J5" s="18" t="n">
        <f aca="false">INDEX(Détail!$F$5:$F$29,MATCH("Pilier fin couché métal (Flat Thin Pillar)",Détail!$B$5:$B$29,0))</f>
        <v>4</v>
      </c>
      <c r="K5" s="18" t="n">
        <f aca="false">INDEX(Détail!$F$5:$F$29,MATCH("Cadre de porte double métal",Détail!$B$5:$B$29,0))</f>
        <v>7</v>
      </c>
      <c r="L5" s="18" t="n">
        <f aca="false">INDEX(Détail!$F$5:$F$29,MATCH("Demi-pilier fin métal (Half Thin Pillar)",Détail!$B$5:$B$29,0))</f>
        <v>2</v>
      </c>
      <c r="M5" s="18" t="n">
        <f aca="false">INDEX(Détail!$F$5:$F$29,MATCH("Escalier métal",Détail!$B$5:$B$29,0))</f>
        <v>15</v>
      </c>
      <c r="N5" s="18" t="n">
        <f aca="false">INDEX(Détail!$F$5:$F$29,MATCH("Plafond à trappe métal",Détail!$B$5:$B$29,0))</f>
        <v>10</v>
      </c>
      <c r="O5" s="2"/>
      <c r="P5" s="2"/>
      <c r="Q5" s="2"/>
    </row>
    <row r="6" customFormat="false" ht="54" hidden="false" customHeight="true" outlineLevel="0" collapsed="false">
      <c r="A6" s="19" t="s">
        <v>122</v>
      </c>
      <c r="B6" s="11" t="s">
        <v>91</v>
      </c>
      <c r="C6" s="11" t="s">
        <v>92</v>
      </c>
      <c r="D6" s="11" t="s">
        <v>94</v>
      </c>
      <c r="E6" s="11" t="s">
        <v>95</v>
      </c>
      <c r="F6" s="11" t="s">
        <v>96</v>
      </c>
      <c r="G6" s="11" t="s">
        <v>97</v>
      </c>
      <c r="H6" s="11" t="s">
        <v>98</v>
      </c>
      <c r="I6" s="11" t="s">
        <v>99</v>
      </c>
      <c r="J6" s="11" t="s">
        <v>100</v>
      </c>
      <c r="K6" s="11" t="s">
        <v>101</v>
      </c>
      <c r="L6" s="11" t="s">
        <v>102</v>
      </c>
      <c r="M6" s="11" t="s">
        <v>103</v>
      </c>
      <c r="N6" s="11" t="s">
        <v>104</v>
      </c>
      <c r="O6" s="5" t="s">
        <v>123</v>
      </c>
      <c r="P6" s="5" t="s">
        <v>124</v>
      </c>
      <c r="Q6" s="5" t="s">
        <v>125</v>
      </c>
    </row>
    <row r="7" customFormat="false" ht="15" hidden="false" customHeight="false" outlineLevel="0" collapsed="false">
      <c r="A7" s="12" t="s">
        <v>126</v>
      </c>
      <c r="B7" s="16" t="n">
        <v>0</v>
      </c>
      <c r="C7" s="16" t="n">
        <v>0</v>
      </c>
      <c r="D7" s="16" t="n">
        <v>294</v>
      </c>
      <c r="E7" s="16" t="n">
        <v>0</v>
      </c>
      <c r="F7" s="16" t="n">
        <v>0</v>
      </c>
      <c r="G7" s="16" t="n">
        <v>147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20" t="n">
        <f aca="false">SUM(B7:N7)</f>
        <v>441</v>
      </c>
      <c r="P7" s="20" t="n">
        <f aca="false">SUMPRODUCT(B7:N7,B$4:N$4)</f>
        <v>14700</v>
      </c>
      <c r="Q7" s="20" t="n">
        <f aca="false">SUMPRODUCT(B7:N7,B$5:N$5)</f>
        <v>4557</v>
      </c>
    </row>
    <row r="8" customFormat="false" ht="15" hidden="false" customHeight="false" outlineLevel="0" collapsed="false">
      <c r="A8" s="12" t="s">
        <v>127</v>
      </c>
      <c r="B8" s="16" t="n">
        <v>319</v>
      </c>
      <c r="C8" s="16" t="n">
        <v>564</v>
      </c>
      <c r="D8" s="16" t="n">
        <v>0</v>
      </c>
      <c r="E8" s="16" t="n">
        <v>0</v>
      </c>
      <c r="F8" s="16" t="n">
        <v>226</v>
      </c>
      <c r="G8" s="16" t="n">
        <v>0</v>
      </c>
      <c r="H8" s="16" t="n">
        <v>0</v>
      </c>
      <c r="I8" s="16" t="n">
        <v>123</v>
      </c>
      <c r="J8" s="16" t="n">
        <v>94</v>
      </c>
      <c r="K8" s="16" t="n">
        <v>0</v>
      </c>
      <c r="L8" s="16" t="n">
        <v>43</v>
      </c>
      <c r="M8" s="16" t="n">
        <v>0</v>
      </c>
      <c r="N8" s="16" t="n">
        <v>0</v>
      </c>
      <c r="O8" s="20" t="n">
        <f aca="false">SUM(B8:N8)</f>
        <v>1369</v>
      </c>
      <c r="P8" s="20" t="n">
        <f aca="false">SUMPRODUCT(B8:N8,B$4:N$4)</f>
        <v>23515</v>
      </c>
      <c r="Q8" s="20" t="n">
        <f aca="false">SUMPRODUCT(B8:N8,B$5:N$5)</f>
        <v>6461</v>
      </c>
    </row>
    <row r="9" customFormat="false" ht="15" hidden="false" customHeight="false" outlineLevel="0" collapsed="false">
      <c r="A9" s="12" t="s">
        <v>128</v>
      </c>
      <c r="B9" s="16" t="n">
        <v>0</v>
      </c>
      <c r="C9" s="16" t="n">
        <v>0</v>
      </c>
      <c r="D9" s="16" t="n">
        <v>385</v>
      </c>
      <c r="E9" s="16" t="n">
        <v>0</v>
      </c>
      <c r="F9" s="16" t="n">
        <v>0</v>
      </c>
      <c r="G9" s="16" t="n">
        <v>192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20" t="n">
        <f aca="false">SUM(B9:N9)</f>
        <v>577</v>
      </c>
      <c r="P9" s="20" t="n">
        <f aca="false">SUMPRODUCT(B9:N9,B$4:N$4)</f>
        <v>19225</v>
      </c>
      <c r="Q9" s="20" t="n">
        <f aca="false">SUMPRODUCT(B9:N9,B$5:N$5)</f>
        <v>5960</v>
      </c>
    </row>
    <row r="10" customFormat="false" ht="15" hidden="false" customHeight="false" outlineLevel="0" collapsed="false">
      <c r="A10" s="12" t="s">
        <v>129</v>
      </c>
      <c r="B10" s="16" t="n">
        <v>396</v>
      </c>
      <c r="C10" s="16" t="n">
        <v>0</v>
      </c>
      <c r="D10" s="16" t="n">
        <v>0</v>
      </c>
      <c r="E10" s="16" t="n">
        <v>170</v>
      </c>
      <c r="F10" s="16" t="n">
        <v>120</v>
      </c>
      <c r="G10" s="16" t="n">
        <v>0</v>
      </c>
      <c r="H10" s="16" t="n">
        <v>85</v>
      </c>
      <c r="I10" s="16" t="n">
        <v>0</v>
      </c>
      <c r="J10" s="16" t="n">
        <v>0</v>
      </c>
      <c r="K10" s="16" t="n">
        <v>17</v>
      </c>
      <c r="L10" s="16" t="n">
        <v>0</v>
      </c>
      <c r="M10" s="16" t="n">
        <v>6</v>
      </c>
      <c r="N10" s="16" t="n">
        <v>0</v>
      </c>
      <c r="O10" s="20" t="n">
        <f aca="false">SUM(B10:N10)</f>
        <v>794</v>
      </c>
      <c r="P10" s="20" t="n">
        <f aca="false">SUMPRODUCT(B10:N10,B$4:N$4)</f>
        <v>19660</v>
      </c>
      <c r="Q10" s="20" t="n">
        <f aca="false">SUMPRODUCT(B10:N10,B$5:N$5)</f>
        <v>5521</v>
      </c>
    </row>
    <row r="11" customFormat="false" ht="15" hidden="false" customHeight="false" outlineLevel="0" collapsed="false">
      <c r="A11" s="12" t="s">
        <v>130</v>
      </c>
      <c r="B11" s="16" t="n">
        <v>361</v>
      </c>
      <c r="C11" s="16" t="n">
        <v>53</v>
      </c>
      <c r="D11" s="16" t="n">
        <v>0</v>
      </c>
      <c r="E11" s="16" t="n">
        <v>285</v>
      </c>
      <c r="F11" s="16" t="n">
        <v>0</v>
      </c>
      <c r="G11" s="16" t="n">
        <v>0</v>
      </c>
      <c r="H11" s="16" t="n">
        <v>136</v>
      </c>
      <c r="I11" s="16" t="n">
        <v>0</v>
      </c>
      <c r="J11" s="16" t="n">
        <v>0</v>
      </c>
      <c r="K11" s="16" t="n">
        <v>59</v>
      </c>
      <c r="L11" s="16" t="n">
        <v>0</v>
      </c>
      <c r="M11" s="16" t="n">
        <v>0</v>
      </c>
      <c r="N11" s="16" t="n">
        <v>5</v>
      </c>
      <c r="O11" s="20" t="n">
        <f aca="false">SUM(B11:N11)</f>
        <v>899</v>
      </c>
      <c r="P11" s="20" t="n">
        <f aca="false">SUMPRODUCT(B11:N11,B$4:N$4)</f>
        <v>21201</v>
      </c>
      <c r="Q11" s="20" t="n">
        <f aca="false">SUMPRODUCT(B11:N11,B$5:N$5)</f>
        <v>5934</v>
      </c>
    </row>
    <row r="12" customFormat="false" ht="15" hidden="false" customHeight="false" outlineLevel="0" collapsed="false">
      <c r="A12" s="12" t="s">
        <v>131</v>
      </c>
      <c r="B12" s="16" t="n">
        <v>0</v>
      </c>
      <c r="C12" s="16" t="n">
        <v>275</v>
      </c>
      <c r="D12" s="16" t="n">
        <v>0</v>
      </c>
      <c r="E12" s="16" t="n">
        <v>174</v>
      </c>
      <c r="F12" s="16" t="n">
        <v>0</v>
      </c>
      <c r="G12" s="16" t="n">
        <v>0</v>
      </c>
      <c r="H12" s="16" t="n">
        <v>87</v>
      </c>
      <c r="I12" s="16" t="n">
        <v>43</v>
      </c>
      <c r="J12" s="16" t="n">
        <v>0</v>
      </c>
      <c r="K12" s="16" t="n">
        <v>0</v>
      </c>
      <c r="L12" s="16" t="n">
        <v>0</v>
      </c>
      <c r="M12" s="16" t="n">
        <v>0</v>
      </c>
      <c r="N12" s="16" t="n">
        <v>0</v>
      </c>
      <c r="O12" s="20" t="n">
        <f aca="false">SUM(B12:N12)</f>
        <v>579</v>
      </c>
      <c r="P12" s="20" t="n">
        <f aca="false">SUMPRODUCT(B12:N12,B$4:N$4)</f>
        <v>10036</v>
      </c>
      <c r="Q12" s="20" t="n">
        <f aca="false">SUMPRODUCT(B12:N12,B$5:N$5)</f>
        <v>2737</v>
      </c>
    </row>
    <row r="13" customFormat="false" ht="15" hidden="false" customHeight="false" outlineLevel="0" collapsed="false">
      <c r="A13" s="12" t="s">
        <v>132</v>
      </c>
      <c r="B13" s="16" t="n">
        <v>0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20" t="n">
        <f aca="false">SUM(B13:N13)</f>
        <v>0</v>
      </c>
      <c r="P13" s="20" t="n">
        <f aca="false">SUMPRODUCT(B13:N13,B$4:N$4)</f>
        <v>0</v>
      </c>
      <c r="Q13" s="20" t="n">
        <f aca="false">SUMPRODUCT(B13:N13,B$5:N$5)</f>
        <v>0</v>
      </c>
    </row>
    <row r="14" customFormat="false" ht="15" hidden="false" customHeight="false" outlineLevel="0" collapsed="false">
      <c r="A14" s="12" t="s">
        <v>133</v>
      </c>
      <c r="B14" s="16" t="n">
        <v>0</v>
      </c>
      <c r="C14" s="16" t="n">
        <v>0</v>
      </c>
      <c r="D14" s="16" t="n">
        <v>5</v>
      </c>
      <c r="E14" s="16" t="n">
        <v>0</v>
      </c>
      <c r="F14" s="16" t="n">
        <v>0</v>
      </c>
      <c r="G14" s="16" t="n">
        <v>5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20" t="n">
        <f aca="false">SUM(B14:N14)</f>
        <v>10</v>
      </c>
      <c r="P14" s="20" t="n">
        <f aca="false">SUMPRODUCT(B14:N14,B$4:N$4)</f>
        <v>375</v>
      </c>
      <c r="Q14" s="20" t="n">
        <f aca="false">SUMPRODUCT(B14:N14,B$5:N$5)</f>
        <v>115</v>
      </c>
    </row>
    <row r="15" customFormat="false" ht="15" hidden="false" customHeight="false" outlineLevel="0" collapsed="false">
      <c r="A15" s="4" t="s">
        <v>134</v>
      </c>
      <c r="B15" s="21" t="n">
        <f aca="false">SUM(B7:B14)</f>
        <v>1076</v>
      </c>
      <c r="C15" s="21" t="n">
        <f aca="false">SUM(C7:C14)</f>
        <v>892</v>
      </c>
      <c r="D15" s="21" t="n">
        <f aca="false">SUM(D7:D14)</f>
        <v>684</v>
      </c>
      <c r="E15" s="21" t="n">
        <f aca="false">SUM(E7:E14)</f>
        <v>629</v>
      </c>
      <c r="F15" s="21" t="n">
        <f aca="false">SUM(F7:F14)</f>
        <v>346</v>
      </c>
      <c r="G15" s="21" t="n">
        <f aca="false">SUM(G7:G14)</f>
        <v>344</v>
      </c>
      <c r="H15" s="21" t="n">
        <f aca="false">SUM(H7:H14)</f>
        <v>308</v>
      </c>
      <c r="I15" s="21" t="n">
        <f aca="false">SUM(I7:I14)</f>
        <v>166</v>
      </c>
      <c r="J15" s="21" t="n">
        <f aca="false">SUM(J7:J14)</f>
        <v>94</v>
      </c>
      <c r="K15" s="21" t="n">
        <f aca="false">SUM(K7:K14)</f>
        <v>76</v>
      </c>
      <c r="L15" s="21" t="n">
        <f aca="false">SUM(L7:L14)</f>
        <v>43</v>
      </c>
      <c r="M15" s="21" t="n">
        <f aca="false">SUM(M7:M14)</f>
        <v>6</v>
      </c>
      <c r="N15" s="21" t="n">
        <f aca="false">SUM(N7:N14)</f>
        <v>5</v>
      </c>
      <c r="O15" s="21" t="n">
        <f aca="false">SUM(O7:O14)</f>
        <v>4669</v>
      </c>
      <c r="P15" s="21" t="n">
        <f aca="false">SUM(P7:P14)</f>
        <v>108712</v>
      </c>
      <c r="Q15" s="21" t="n">
        <f aca="false">SUM(Q7:Q14)</f>
        <v>31285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customFormat="false" ht="15" hidden="false" customHeight="false" outlineLevel="0" collapsed="false">
      <c r="A17" s="3" t="s">
        <v>135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2026-10-25T17:28:17Z</dcterms:created>
  <dc:creator>openpyxl</dc:creator>
  <dc:description/>
  <dc:language>en-US</dc:language>
  <cp:lastModifiedBy/>
  <dcterms:modified xsi:type="dcterms:W3CDTF">2026-10-25T17:28:17Z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