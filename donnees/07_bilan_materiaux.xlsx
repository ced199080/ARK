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Détail" sheetId="2" state="visible" r:id="rId2"/>
    <sheet xmlns:r="http://schemas.openxmlformats.org/officeDocument/2006/relationships" name="Par pl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#,##0&quot; restent en place&quot;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DDE4EE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164" fontId="6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165" fontId="4" fillId="3" borderId="1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  <xf numFmtId="0" fontId="5" fillId="4" borderId="0" pivotButton="0" quotePrefix="0" xfId="0"/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7" fillId="3" borderId="1" pivotButton="0" quotePrefix="0" xfId="0"/>
    <xf numFmtId="164" fontId="6" fillId="0" borderId="0" pivotButton="0" quotePrefix="0" xfId="0"/>
    <xf numFmtId="0" fontId="3" fillId="2" borderId="0" pivotButton="0" quotePrefix="0" xfId="0"/>
    <xf numFmtId="164" fontId="7" fillId="0" borderId="0" pivotButton="0" quotePrefix="0" xfId="0"/>
    <xf numFmtId="164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Forteresse Ø30 — bilan matériaux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Calculé depuis l'onglet Détail. Les tourelles (52 Heavy, 23 Tek, 10 Tesla) sont déjà en inventaire ; les 15 graines de Plant Species X se plantent à la main. Ne fabriquez que la ligne « À fabriquer 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Nombre de structures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5" t="inlineStr">
        <is>
          <t>Poste</t>
        </is>
      </c>
      <c r="B5" s="5" t="inlineStr">
        <is>
          <t>Structures</t>
        </is>
      </c>
      <c r="C5" s="5" t="inlineStr">
        <is>
          <t>Devenir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6" t="inlineStr">
        <is>
          <t>Structure des plans (sans la colonnade)</t>
        </is>
      </c>
      <c r="B6" s="7">
        <f>SUMIFS(Détail!$C$5:$C$30,Détail!$A$5:$A$30,A6)</f>
        <v/>
      </c>
      <c r="C6" s="6" t="inlineStr">
        <is>
          <t>définitives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6" t="inlineStr">
        <is>
          <t>Carrés de culture (Plant X)</t>
        </is>
      </c>
      <c r="B7" s="7">
        <f>SUMIFS(Détail!$C$5:$C$30,Détail!$A$5:$A$30,A7)</f>
        <v/>
      </c>
      <c r="C7" s="6" t="inlineStr">
        <is>
          <t>définitifs (Plant X à planter)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6" t="inlineStr">
        <is>
          <t>Ancres temporaires (démolies)</t>
        </is>
      </c>
      <c r="B8" s="7">
        <f>SUMIFS(Détail!$C$5:$C$30,Détail!$A$5:$A$30,A8)</f>
        <v/>
      </c>
      <c r="C8" s="6" t="inlineStr">
        <is>
          <t>démolies à la fin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6" t="inlineStr">
        <is>
          <t>Murs de pics</t>
        </is>
      </c>
      <c r="B9" s="7">
        <f>SUMIFS(Détail!$C$5:$C$30,Détail!$A$5:$A$30,A9)</f>
        <v/>
      </c>
      <c r="C9" s="6" t="inlineStr">
        <is>
          <t>définitifs, posés à la main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6" t="inlineStr">
        <is>
          <t>Murs de chaume (démolis)</t>
        </is>
      </c>
      <c r="B10" s="7">
        <f>SUMIFS(Détail!$C$5:$C$30,Détail!$A$5:$A$30,A10)</f>
        <v/>
      </c>
      <c r="C10" s="6" t="inlineStr">
        <is>
          <t>démolis après la pose des tourelles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6" t="inlineStr">
        <is>
          <t>Équipements</t>
        </is>
      </c>
      <c r="B11" s="7">
        <f>SUMIFS(Détail!$C$5:$C$30,Détail!$A$5:$A$30,A11)</f>
        <v/>
      </c>
      <c r="C11" s="6" t="inlineStr">
        <is>
          <t>définitifs, hors plans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6" t="inlineStr">
        <is>
          <t>Tourelles (déjà en inventaire)</t>
        </is>
      </c>
      <c r="B12" s="7">
        <f>SUMIFS(Détail!$C$5:$C$30,Détail!$A$5:$A$30,A12)</f>
        <v/>
      </c>
      <c r="C12" s="6" t="inlineStr">
        <is>
          <t>définitives, déjà en inventaire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8" t="inlineStr">
        <is>
          <t>Total à poser</t>
        </is>
      </c>
      <c r="B13" s="9">
        <f>SUM(B6:B12)</f>
        <v/>
      </c>
      <c r="C13" s="10">
        <f>B13-B8-B10</f>
        <v/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4" t="inlineStr">
        <is>
          <t>Matériaux par poste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30" customHeight="1">
      <c r="A16" s="11" t="inlineStr">
        <is>
          <t>Poste</t>
        </is>
      </c>
      <c r="B16" s="11" t="inlineStr">
        <is>
          <t>Lingots de métal</t>
        </is>
      </c>
      <c r="C16" s="11" t="inlineStr">
        <is>
          <t>Pâte cimentée</t>
        </is>
      </c>
      <c r="D16" s="11" t="inlineStr">
        <is>
          <t>Électroniques</t>
        </is>
      </c>
      <c r="E16" s="11" t="inlineStr">
        <is>
          <t>Polymère</t>
        </is>
      </c>
      <c r="F16" s="11" t="inlineStr">
        <is>
          <t>Cristal</t>
        </is>
      </c>
      <c r="G16" s="11" t="inlineStr">
        <is>
          <t>Élément</t>
        </is>
      </c>
      <c r="H16" s="11" t="inlineStr">
        <is>
          <t>Perles noires</t>
        </is>
      </c>
      <c r="I16" s="11" t="inlineStr">
        <is>
          <t>Huile</t>
        </is>
      </c>
      <c r="J16" s="11" t="inlineStr">
        <is>
          <t>Poudre étincelante</t>
        </is>
      </c>
      <c r="K16" s="11" t="inlineStr">
        <is>
          <t>Cuir</t>
        </is>
      </c>
      <c r="L16" s="11" t="inlineStr">
        <is>
          <t>Fibre</t>
        </is>
      </c>
      <c r="M16" s="11" t="inlineStr">
        <is>
          <t>Chaume</t>
        </is>
      </c>
      <c r="N16" s="11" t="inlineStr">
        <is>
          <t>Bois</t>
        </is>
      </c>
      <c r="O16" s="11" t="inlineStr">
        <is>
          <t>Pierre</t>
        </is>
      </c>
    </row>
    <row r="17">
      <c r="A17" s="6" t="inlineStr">
        <is>
          <t>Structure des plans (sans la colonnade)</t>
        </is>
      </c>
      <c r="B17" s="7">
        <f>SUMIFS(Détail!$S$5:$S$30,Détail!$A$5:$A$30,$A17)</f>
        <v/>
      </c>
      <c r="C17" s="7">
        <f>SUMIFS(Détail!$T$5:$T$30,Détail!$A$5:$A$30,$A17)</f>
        <v/>
      </c>
      <c r="D17" s="7">
        <f>SUMIFS(Détail!$U$5:$U$30,Détail!$A$5:$A$30,$A17)</f>
        <v/>
      </c>
      <c r="E17" s="7">
        <f>SUMIFS(Détail!$V$5:$V$30,Détail!$A$5:$A$30,$A17)</f>
        <v/>
      </c>
      <c r="F17" s="7">
        <f>SUMIFS(Détail!$W$5:$W$30,Détail!$A$5:$A$30,$A17)</f>
        <v/>
      </c>
      <c r="G17" s="7">
        <f>SUMIFS(Détail!$X$5:$X$30,Détail!$A$5:$A$30,$A17)</f>
        <v/>
      </c>
      <c r="H17" s="7">
        <f>SUMIFS(Détail!$Y$5:$Y$30,Détail!$A$5:$A$30,$A17)</f>
        <v/>
      </c>
      <c r="I17" s="7">
        <f>SUMIFS(Détail!$Z$5:$Z$30,Détail!$A$5:$A$30,$A17)</f>
        <v/>
      </c>
      <c r="J17" s="7">
        <f>SUMIFS(Détail!$AA$5:$AA$30,Détail!$A$5:$A$30,$A17)</f>
        <v/>
      </c>
      <c r="K17" s="7">
        <f>SUMIFS(Détail!$AB$5:$AB$30,Détail!$A$5:$A$30,$A17)</f>
        <v/>
      </c>
      <c r="L17" s="7">
        <f>SUMIFS(Détail!$AC$5:$AC$30,Détail!$A$5:$A$30,$A17)</f>
        <v/>
      </c>
      <c r="M17" s="7">
        <f>SUMIFS(Détail!$AD$5:$AD$30,Détail!$A$5:$A$30,$A17)</f>
        <v/>
      </c>
      <c r="N17" s="7">
        <f>SUMIFS(Détail!$AE$5:$AE$30,Détail!$A$5:$A$30,$A17)</f>
        <v/>
      </c>
      <c r="O17" s="7">
        <f>SUMIFS(Détail!$AF$5:$AF$30,Détail!$A$5:$A$30,$A17)</f>
        <v/>
      </c>
    </row>
    <row r="18">
      <c r="A18" s="6" t="inlineStr">
        <is>
          <t>Carrés de culture (Plant X)</t>
        </is>
      </c>
      <c r="B18" s="7">
        <f>SUMIFS(Détail!$S$5:$S$30,Détail!$A$5:$A$30,$A18)</f>
        <v/>
      </c>
      <c r="C18" s="7">
        <f>SUMIFS(Détail!$T$5:$T$30,Détail!$A$5:$A$30,$A18)</f>
        <v/>
      </c>
      <c r="D18" s="7">
        <f>SUMIFS(Détail!$U$5:$U$30,Détail!$A$5:$A$30,$A18)</f>
        <v/>
      </c>
      <c r="E18" s="7">
        <f>SUMIFS(Détail!$V$5:$V$30,Détail!$A$5:$A$30,$A18)</f>
        <v/>
      </c>
      <c r="F18" s="7">
        <f>SUMIFS(Détail!$W$5:$W$30,Détail!$A$5:$A$30,$A18)</f>
        <v/>
      </c>
      <c r="G18" s="7">
        <f>SUMIFS(Détail!$X$5:$X$30,Détail!$A$5:$A$30,$A18)</f>
        <v/>
      </c>
      <c r="H18" s="7">
        <f>SUMIFS(Détail!$Y$5:$Y$30,Détail!$A$5:$A$30,$A18)</f>
        <v/>
      </c>
      <c r="I18" s="7">
        <f>SUMIFS(Détail!$Z$5:$Z$30,Détail!$A$5:$A$30,$A18)</f>
        <v/>
      </c>
      <c r="J18" s="7">
        <f>SUMIFS(Détail!$AA$5:$AA$30,Détail!$A$5:$A$30,$A18)</f>
        <v/>
      </c>
      <c r="K18" s="7">
        <f>SUMIFS(Détail!$AB$5:$AB$30,Détail!$A$5:$A$30,$A18)</f>
        <v/>
      </c>
      <c r="L18" s="7">
        <f>SUMIFS(Détail!$AC$5:$AC$30,Détail!$A$5:$A$30,$A18)</f>
        <v/>
      </c>
      <c r="M18" s="7">
        <f>SUMIFS(Détail!$AD$5:$AD$30,Détail!$A$5:$A$30,$A18)</f>
        <v/>
      </c>
      <c r="N18" s="7">
        <f>SUMIFS(Détail!$AE$5:$AE$30,Détail!$A$5:$A$30,$A18)</f>
        <v/>
      </c>
      <c r="O18" s="7">
        <f>SUMIFS(Détail!$AF$5:$AF$30,Détail!$A$5:$A$30,$A18)</f>
        <v/>
      </c>
    </row>
    <row r="19">
      <c r="A19" s="6" t="inlineStr">
        <is>
          <t>Ancres temporaires (démolies)</t>
        </is>
      </c>
      <c r="B19" s="7">
        <f>SUMIFS(Détail!$S$5:$S$30,Détail!$A$5:$A$30,$A19)</f>
        <v/>
      </c>
      <c r="C19" s="7">
        <f>SUMIFS(Détail!$T$5:$T$30,Détail!$A$5:$A$30,$A19)</f>
        <v/>
      </c>
      <c r="D19" s="7">
        <f>SUMIFS(Détail!$U$5:$U$30,Détail!$A$5:$A$30,$A19)</f>
        <v/>
      </c>
      <c r="E19" s="7">
        <f>SUMIFS(Détail!$V$5:$V$30,Détail!$A$5:$A$30,$A19)</f>
        <v/>
      </c>
      <c r="F19" s="7">
        <f>SUMIFS(Détail!$W$5:$W$30,Détail!$A$5:$A$30,$A19)</f>
        <v/>
      </c>
      <c r="G19" s="7">
        <f>SUMIFS(Détail!$X$5:$X$30,Détail!$A$5:$A$30,$A19)</f>
        <v/>
      </c>
      <c r="H19" s="7">
        <f>SUMIFS(Détail!$Y$5:$Y$30,Détail!$A$5:$A$30,$A19)</f>
        <v/>
      </c>
      <c r="I19" s="7">
        <f>SUMIFS(Détail!$Z$5:$Z$30,Détail!$A$5:$A$30,$A19)</f>
        <v/>
      </c>
      <c r="J19" s="7">
        <f>SUMIFS(Détail!$AA$5:$AA$30,Détail!$A$5:$A$30,$A19)</f>
        <v/>
      </c>
      <c r="K19" s="7">
        <f>SUMIFS(Détail!$AB$5:$AB$30,Détail!$A$5:$A$30,$A19)</f>
        <v/>
      </c>
      <c r="L19" s="7">
        <f>SUMIFS(Détail!$AC$5:$AC$30,Détail!$A$5:$A$30,$A19)</f>
        <v/>
      </c>
      <c r="M19" s="7">
        <f>SUMIFS(Détail!$AD$5:$AD$30,Détail!$A$5:$A$30,$A19)</f>
        <v/>
      </c>
      <c r="N19" s="7">
        <f>SUMIFS(Détail!$AE$5:$AE$30,Détail!$A$5:$A$30,$A19)</f>
        <v/>
      </c>
      <c r="O19" s="7">
        <f>SUMIFS(Détail!$AF$5:$AF$30,Détail!$A$5:$A$30,$A19)</f>
        <v/>
      </c>
    </row>
    <row r="20">
      <c r="A20" s="6" t="inlineStr">
        <is>
          <t>Murs de pics</t>
        </is>
      </c>
      <c r="B20" s="7">
        <f>SUMIFS(Détail!$S$5:$S$30,Détail!$A$5:$A$30,$A20)</f>
        <v/>
      </c>
      <c r="C20" s="7">
        <f>SUMIFS(Détail!$T$5:$T$30,Détail!$A$5:$A$30,$A20)</f>
        <v/>
      </c>
      <c r="D20" s="7">
        <f>SUMIFS(Détail!$U$5:$U$30,Détail!$A$5:$A$30,$A20)</f>
        <v/>
      </c>
      <c r="E20" s="7">
        <f>SUMIFS(Détail!$V$5:$V$30,Détail!$A$5:$A$30,$A20)</f>
        <v/>
      </c>
      <c r="F20" s="7">
        <f>SUMIFS(Détail!$W$5:$W$30,Détail!$A$5:$A$30,$A20)</f>
        <v/>
      </c>
      <c r="G20" s="7">
        <f>SUMIFS(Détail!$X$5:$X$30,Détail!$A$5:$A$30,$A20)</f>
        <v/>
      </c>
      <c r="H20" s="7">
        <f>SUMIFS(Détail!$Y$5:$Y$30,Détail!$A$5:$A$30,$A20)</f>
        <v/>
      </c>
      <c r="I20" s="7">
        <f>SUMIFS(Détail!$Z$5:$Z$30,Détail!$A$5:$A$30,$A20)</f>
        <v/>
      </c>
      <c r="J20" s="7">
        <f>SUMIFS(Détail!$AA$5:$AA$30,Détail!$A$5:$A$30,$A20)</f>
        <v/>
      </c>
      <c r="K20" s="7">
        <f>SUMIFS(Détail!$AB$5:$AB$30,Détail!$A$5:$A$30,$A20)</f>
        <v/>
      </c>
      <c r="L20" s="7">
        <f>SUMIFS(Détail!$AC$5:$AC$30,Détail!$A$5:$A$30,$A20)</f>
        <v/>
      </c>
      <c r="M20" s="7">
        <f>SUMIFS(Détail!$AD$5:$AD$30,Détail!$A$5:$A$30,$A20)</f>
        <v/>
      </c>
      <c r="N20" s="7">
        <f>SUMIFS(Détail!$AE$5:$AE$30,Détail!$A$5:$A$30,$A20)</f>
        <v/>
      </c>
      <c r="O20" s="7">
        <f>SUMIFS(Détail!$AF$5:$AF$30,Détail!$A$5:$A$30,$A20)</f>
        <v/>
      </c>
    </row>
    <row r="21">
      <c r="A21" s="6" t="inlineStr">
        <is>
          <t>Murs de chaume (démolis)</t>
        </is>
      </c>
      <c r="B21" s="7">
        <f>SUMIFS(Détail!$S$5:$S$30,Détail!$A$5:$A$30,$A21)</f>
        <v/>
      </c>
      <c r="C21" s="7">
        <f>SUMIFS(Détail!$T$5:$T$30,Détail!$A$5:$A$30,$A21)</f>
        <v/>
      </c>
      <c r="D21" s="7">
        <f>SUMIFS(Détail!$U$5:$U$30,Détail!$A$5:$A$30,$A21)</f>
        <v/>
      </c>
      <c r="E21" s="7">
        <f>SUMIFS(Détail!$V$5:$V$30,Détail!$A$5:$A$30,$A21)</f>
        <v/>
      </c>
      <c r="F21" s="7">
        <f>SUMIFS(Détail!$W$5:$W$30,Détail!$A$5:$A$30,$A21)</f>
        <v/>
      </c>
      <c r="G21" s="7">
        <f>SUMIFS(Détail!$X$5:$X$30,Détail!$A$5:$A$30,$A21)</f>
        <v/>
      </c>
      <c r="H21" s="7">
        <f>SUMIFS(Détail!$Y$5:$Y$30,Détail!$A$5:$A$30,$A21)</f>
        <v/>
      </c>
      <c r="I21" s="7">
        <f>SUMIFS(Détail!$Z$5:$Z$30,Détail!$A$5:$A$30,$A21)</f>
        <v/>
      </c>
      <c r="J21" s="7">
        <f>SUMIFS(Détail!$AA$5:$AA$30,Détail!$A$5:$A$30,$A21)</f>
        <v/>
      </c>
      <c r="K21" s="7">
        <f>SUMIFS(Détail!$AB$5:$AB$30,Détail!$A$5:$A$30,$A21)</f>
        <v/>
      </c>
      <c r="L21" s="7">
        <f>SUMIFS(Détail!$AC$5:$AC$30,Détail!$A$5:$A$30,$A21)</f>
        <v/>
      </c>
      <c r="M21" s="7">
        <f>SUMIFS(Détail!$AD$5:$AD$30,Détail!$A$5:$A$30,$A21)</f>
        <v/>
      </c>
      <c r="N21" s="7">
        <f>SUMIFS(Détail!$AE$5:$AE$30,Détail!$A$5:$A$30,$A21)</f>
        <v/>
      </c>
      <c r="O21" s="7">
        <f>SUMIFS(Détail!$AF$5:$AF$30,Détail!$A$5:$A$30,$A21)</f>
        <v/>
      </c>
    </row>
    <row r="22">
      <c r="A22" s="6" t="inlineStr">
        <is>
          <t>Équipements</t>
        </is>
      </c>
      <c r="B22" s="7">
        <f>SUMIFS(Détail!$S$5:$S$30,Détail!$A$5:$A$30,$A22)</f>
        <v/>
      </c>
      <c r="C22" s="7">
        <f>SUMIFS(Détail!$T$5:$T$30,Détail!$A$5:$A$30,$A22)</f>
        <v/>
      </c>
      <c r="D22" s="7">
        <f>SUMIFS(Détail!$U$5:$U$30,Détail!$A$5:$A$30,$A22)</f>
        <v/>
      </c>
      <c r="E22" s="7">
        <f>SUMIFS(Détail!$V$5:$V$30,Détail!$A$5:$A$30,$A22)</f>
        <v/>
      </c>
      <c r="F22" s="7">
        <f>SUMIFS(Détail!$W$5:$W$30,Détail!$A$5:$A$30,$A22)</f>
        <v/>
      </c>
      <c r="G22" s="7">
        <f>SUMIFS(Détail!$X$5:$X$30,Détail!$A$5:$A$30,$A22)</f>
        <v/>
      </c>
      <c r="H22" s="7">
        <f>SUMIFS(Détail!$Y$5:$Y$30,Détail!$A$5:$A$30,$A22)</f>
        <v/>
      </c>
      <c r="I22" s="7">
        <f>SUMIFS(Détail!$Z$5:$Z$30,Détail!$A$5:$A$30,$A22)</f>
        <v/>
      </c>
      <c r="J22" s="7">
        <f>SUMIFS(Détail!$AA$5:$AA$30,Détail!$A$5:$A$30,$A22)</f>
        <v/>
      </c>
      <c r="K22" s="7">
        <f>SUMIFS(Détail!$AB$5:$AB$30,Détail!$A$5:$A$30,$A22)</f>
        <v/>
      </c>
      <c r="L22" s="7">
        <f>SUMIFS(Détail!$AC$5:$AC$30,Détail!$A$5:$A$30,$A22)</f>
        <v/>
      </c>
      <c r="M22" s="7">
        <f>SUMIFS(Détail!$AD$5:$AD$30,Détail!$A$5:$A$30,$A22)</f>
        <v/>
      </c>
      <c r="N22" s="7">
        <f>SUMIFS(Détail!$AE$5:$AE$30,Détail!$A$5:$A$30,$A22)</f>
        <v/>
      </c>
      <c r="O22" s="7">
        <f>SUMIFS(Détail!$AF$5:$AF$30,Détail!$A$5:$A$30,$A22)</f>
        <v/>
      </c>
    </row>
    <row r="23">
      <c r="A23" s="6" t="inlineStr">
        <is>
          <t>Tourelles (déjà en inventaire)</t>
        </is>
      </c>
      <c r="B23" s="7">
        <f>SUMIFS(Détail!$S$5:$S$30,Détail!$A$5:$A$30,$A23)</f>
        <v/>
      </c>
      <c r="C23" s="7">
        <f>SUMIFS(Détail!$T$5:$T$30,Détail!$A$5:$A$30,$A23)</f>
        <v/>
      </c>
      <c r="D23" s="7">
        <f>SUMIFS(Détail!$U$5:$U$30,Détail!$A$5:$A$30,$A23)</f>
        <v/>
      </c>
      <c r="E23" s="7">
        <f>SUMIFS(Détail!$V$5:$V$30,Détail!$A$5:$A$30,$A23)</f>
        <v/>
      </c>
      <c r="F23" s="7">
        <f>SUMIFS(Détail!$W$5:$W$30,Détail!$A$5:$A$30,$A23)</f>
        <v/>
      </c>
      <c r="G23" s="7">
        <f>SUMIFS(Détail!$X$5:$X$30,Détail!$A$5:$A$30,$A23)</f>
        <v/>
      </c>
      <c r="H23" s="7">
        <f>SUMIFS(Détail!$Y$5:$Y$30,Détail!$A$5:$A$30,$A23)</f>
        <v/>
      </c>
      <c r="I23" s="7">
        <f>SUMIFS(Détail!$Z$5:$Z$30,Détail!$A$5:$A$30,$A23)</f>
        <v/>
      </c>
      <c r="J23" s="7">
        <f>SUMIFS(Détail!$AA$5:$AA$30,Détail!$A$5:$A$30,$A23)</f>
        <v/>
      </c>
      <c r="K23" s="7">
        <f>SUMIFS(Détail!$AB$5:$AB$30,Détail!$A$5:$A$30,$A23)</f>
        <v/>
      </c>
      <c r="L23" s="7">
        <f>SUMIFS(Détail!$AC$5:$AC$30,Détail!$A$5:$A$30,$A23)</f>
        <v/>
      </c>
      <c r="M23" s="7">
        <f>SUMIFS(Détail!$AD$5:$AD$30,Détail!$A$5:$A$30,$A23)</f>
        <v/>
      </c>
      <c r="N23" s="7">
        <f>SUMIFS(Détail!$AE$5:$AE$30,Détail!$A$5:$A$30,$A23)</f>
        <v/>
      </c>
      <c r="O23" s="7">
        <f>SUMIFS(Détail!$AF$5:$AF$30,Détail!$A$5:$A$30,$A23)</f>
        <v/>
      </c>
    </row>
    <row r="24">
      <c r="A24" s="8" t="inlineStr">
        <is>
          <t>À fabriquer (hors tourelles)</t>
        </is>
      </c>
      <c r="B24" s="9">
        <f>SUM(B17:B22)</f>
        <v/>
      </c>
      <c r="C24" s="9">
        <f>SUM(C17:C22)</f>
        <v/>
      </c>
      <c r="D24" s="9">
        <f>SUM(D17:D22)</f>
        <v/>
      </c>
      <c r="E24" s="9">
        <f>SUM(E17:E22)</f>
        <v/>
      </c>
      <c r="F24" s="9">
        <f>SUM(F17:F22)</f>
        <v/>
      </c>
      <c r="G24" s="9">
        <f>SUM(G17:G22)</f>
        <v/>
      </c>
      <c r="H24" s="9">
        <f>SUM(H17:H22)</f>
        <v/>
      </c>
      <c r="I24" s="9">
        <f>SUM(I17:I22)</f>
        <v/>
      </c>
      <c r="J24" s="9">
        <f>SUM(J17:J22)</f>
        <v/>
      </c>
      <c r="K24" s="9">
        <f>SUM(K17:K22)</f>
        <v/>
      </c>
      <c r="L24" s="9">
        <f>SUM(L17:L22)</f>
        <v/>
      </c>
      <c r="M24" s="9">
        <f>SUM(M17:M22)</f>
        <v/>
      </c>
      <c r="N24" s="9">
        <f>SUM(N17:N22)</f>
        <v/>
      </c>
      <c r="O24" s="9">
        <f>SUM(O17:O22)</f>
        <v/>
      </c>
    </row>
    <row r="25">
      <c r="A25" s="8" t="inlineStr">
        <is>
          <t>Total avec les tourelles</t>
        </is>
      </c>
      <c r="B25" s="9">
        <f>SUM(B17:B23)</f>
        <v/>
      </c>
      <c r="C25" s="9">
        <f>SUM(C17:C23)</f>
        <v/>
      </c>
      <c r="D25" s="9">
        <f>SUM(D17:D23)</f>
        <v/>
      </c>
      <c r="E25" s="9">
        <f>SUM(E17:E23)</f>
        <v/>
      </c>
      <c r="F25" s="9">
        <f>SUM(F17:F23)</f>
        <v/>
      </c>
      <c r="G25" s="9">
        <f>SUM(G17:G23)</f>
        <v/>
      </c>
      <c r="H25" s="9">
        <f>SUM(H17:H23)</f>
        <v/>
      </c>
      <c r="I25" s="9">
        <f>SUM(I17:I23)</f>
        <v/>
      </c>
      <c r="J25" s="9">
        <f>SUM(J17:J23)</f>
        <v/>
      </c>
      <c r="K25" s="9">
        <f>SUM(K17:K23)</f>
        <v/>
      </c>
      <c r="L25" s="9">
        <f>SUM(L17:L23)</f>
        <v/>
      </c>
      <c r="M25" s="9">
        <f>SUM(M17:M23)</f>
        <v/>
      </c>
      <c r="N25" s="9">
        <f>SUM(N17:N23)</f>
        <v/>
      </c>
      <c r="O25" s="9">
        <f>SUM(O17:O23)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4" t="inlineStr">
        <is>
          <t>Équivalent en ressources brutes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4" t="inlineStr">
        <is>
          <t>Recette (hypothèse, à vérifier sur votre serveur)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12" t="inlineStr">
        <is>
          <t>Minerai par lingot</t>
        </is>
      </c>
      <c r="B29" s="13" t="n">
        <v>2</v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12" t="inlineStr">
        <is>
          <t>Perles de silice par électronique</t>
        </is>
      </c>
      <c r="B30" s="13" t="n">
        <v>3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12" t="inlineStr">
        <is>
          <t>Lingot par électronique</t>
        </is>
      </c>
      <c r="B31" s="13" t="n">
        <v>1</v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12" t="inlineStr">
        <is>
          <t>Obsidienne par polymère</t>
        </is>
      </c>
      <c r="B32" s="13" t="n">
        <v>2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12" t="inlineStr">
        <is>
          <t>Pâte par polymère</t>
        </is>
      </c>
      <c r="B33" s="13" t="n">
        <v>2</v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12" t="inlineStr">
        <is>
          <t>Chitine/kératine par pâte</t>
        </is>
      </c>
      <c r="B34" s="13" t="n">
        <v>4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12" t="inlineStr">
        <is>
          <t>Pierre par pâte</t>
        </is>
      </c>
      <c r="B35" s="13" t="n">
        <v>8</v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12" t="inlineStr">
        <is>
          <t>Silex par poudre étincelante</t>
        </is>
      </c>
      <c r="B36" s="13" t="n">
        <v>2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12" t="inlineStr">
        <is>
          <t>Pierre par poudre étincelante</t>
        </is>
      </c>
      <c r="B37" s="13" t="n">
        <v>1</v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5" t="inlineStr">
        <is>
          <t>Ressource brute</t>
        </is>
      </c>
      <c r="B39" s="5" t="inlineStr">
        <is>
          <t>Hors tourelles</t>
        </is>
      </c>
      <c r="C39" s="5" t="inlineStr">
        <is>
          <t>Avec les tourelles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6" t="inlineStr">
        <is>
          <t>Lingots de métal au total (électroniques comprises)</t>
        </is>
      </c>
      <c r="B40" s="14">
        <f>(B24+$B$31*D24)</f>
        <v/>
      </c>
      <c r="C40" s="14">
        <f>(B25+$B$31*D25)</f>
        <v/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6" t="inlineStr">
        <is>
          <t>Minerai de métal</t>
        </is>
      </c>
      <c r="B41" s="14">
        <f>$B$29*(B24+$B$31*D24)</f>
        <v/>
      </c>
      <c r="C41" s="14">
        <f>$B$29*(B25+$B$31*D25)</f>
        <v/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6" t="inlineStr">
        <is>
          <t>Pâte cimentée au total (polymère compris)</t>
        </is>
      </c>
      <c r="B42" s="14">
        <f>(C24+$B$33*E24)</f>
        <v/>
      </c>
      <c r="C42" s="14">
        <f>(C25+$B$33*E25)</f>
        <v/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6" t="inlineStr">
        <is>
          <t>Chitine ou kératine</t>
        </is>
      </c>
      <c r="B43" s="14">
        <f>$B$34*(C24+$B$33*E24)</f>
        <v/>
      </c>
      <c r="C43" s="14">
        <f>$B$34*(C25+$B$33*E25)</f>
        <v/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6" t="inlineStr">
        <is>
          <t>Pierre</t>
        </is>
      </c>
      <c r="B44" s="14">
        <f>$B$35*(C24+$B$33*E24)+$B$37*J24+O24</f>
        <v/>
      </c>
      <c r="C44" s="14">
        <f>$B$35*(C25+$B$33*E25)+$B$37*J25+O25</f>
        <v/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6" t="inlineStr">
        <is>
          <t>Obsidienne</t>
        </is>
      </c>
      <c r="B45" s="14">
        <f>$B$32*E24</f>
        <v/>
      </c>
      <c r="C45" s="14">
        <f>$B$32*E25</f>
        <v/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6" t="inlineStr">
        <is>
          <t>Perles de silice</t>
        </is>
      </c>
      <c r="B46" s="14">
        <f>$B$30*D24</f>
        <v/>
      </c>
      <c r="C46" s="14">
        <f>$B$30*D25</f>
        <v/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6" t="inlineStr">
        <is>
          <t>Silex</t>
        </is>
      </c>
      <c r="B47" s="14">
        <f>$B$36*J24</f>
        <v/>
      </c>
      <c r="C47" s="14">
        <f>$B$36*J25</f>
        <v/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3" t="inlineStr">
        <is>
          <t>Option colonnade (plan 2  226 piliers) : +5 650 lingots et +1 582 pâte  non comptés ici.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3" t="inlineStr">
        <is>
          <t>Option rehausse du pod  par niveau (76 pièces) : +1 900 lingots et +532 pâte.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3" t="inlineStr">
        <is>
          <t>Étoile centrale déjà construite : retirez 87 fondations et 174 triangles (−8 700 lingots, −2 697 pâte) dans l'onglet Détail.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3" t="inlineStr">
        <is>
          <t>Source des quantités : outils/forteresse.py → donnees/synthese.json (bilan_complet). Limites moteur : module 09.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2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</cols>
  <sheetData>
    <row r="1">
      <c r="A1" s="1" t="inlineStr">
        <is>
          <t>Bilan matériaux — détail par pièce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>
      <c r="A2" s="3" t="inlineStr">
        <is>
          <t>Bleu = donnée saisie (nombre de pièces, coût unitaire) : modifiez-la, tout se recalcule. Noir = formule. Coûts unitaires : module 07 §6 et README §9 ; « oui » en colonne Estimation = coût non trouvé dans les sources.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</row>
    <row r="4" ht="42" customHeight="1">
      <c r="A4" s="11" t="inlineStr">
        <is>
          <t>Poste</t>
        </is>
      </c>
      <c r="B4" s="11" t="inlineStr">
        <is>
          <t>Pièce</t>
        </is>
      </c>
      <c r="C4" s="11" t="inlineStr">
        <is>
          <t>Nombre</t>
        </is>
      </c>
      <c r="D4" s="11" t="inlineStr">
        <is>
          <t>Estimation</t>
        </is>
      </c>
      <c r="E4" s="11" t="inlineStr">
        <is>
          <t>Lingots de métal / u</t>
        </is>
      </c>
      <c r="F4" s="11" t="inlineStr">
        <is>
          <t>Pâte cimentée / u</t>
        </is>
      </c>
      <c r="G4" s="11" t="inlineStr">
        <is>
          <t>Électroniques / u</t>
        </is>
      </c>
      <c r="H4" s="11" t="inlineStr">
        <is>
          <t>Polymère / u</t>
        </is>
      </c>
      <c r="I4" s="11" t="inlineStr">
        <is>
          <t>Cristal / u</t>
        </is>
      </c>
      <c r="J4" s="11" t="inlineStr">
        <is>
          <t>Élément / u</t>
        </is>
      </c>
      <c r="K4" s="11" t="inlineStr">
        <is>
          <t>Perles noires / u</t>
        </is>
      </c>
      <c r="L4" s="11" t="inlineStr">
        <is>
          <t>Huile / u</t>
        </is>
      </c>
      <c r="M4" s="11" t="inlineStr">
        <is>
          <t>Poudre étincelante / u</t>
        </is>
      </c>
      <c r="N4" s="11" t="inlineStr">
        <is>
          <t>Cuir / u</t>
        </is>
      </c>
      <c r="O4" s="11" t="inlineStr">
        <is>
          <t>Fibre / u</t>
        </is>
      </c>
      <c r="P4" s="11" t="inlineStr">
        <is>
          <t>Chaume / u</t>
        </is>
      </c>
      <c r="Q4" s="11" t="inlineStr">
        <is>
          <t>Bois / u</t>
        </is>
      </c>
      <c r="R4" s="11" t="inlineStr">
        <is>
          <t>Pierre / u</t>
        </is>
      </c>
      <c r="S4" s="11" t="inlineStr">
        <is>
          <t>Lingots de métal total</t>
        </is>
      </c>
      <c r="T4" s="11" t="inlineStr">
        <is>
          <t>Pâte cimentée total</t>
        </is>
      </c>
      <c r="U4" s="11" t="inlineStr">
        <is>
          <t>Électroniques total</t>
        </is>
      </c>
      <c r="V4" s="11" t="inlineStr">
        <is>
          <t>Polymère total</t>
        </is>
      </c>
      <c r="W4" s="11" t="inlineStr">
        <is>
          <t>Cristal total</t>
        </is>
      </c>
      <c r="X4" s="11" t="inlineStr">
        <is>
          <t>Élément total</t>
        </is>
      </c>
      <c r="Y4" s="11" t="inlineStr">
        <is>
          <t>Perles noires total</t>
        </is>
      </c>
      <c r="Z4" s="11" t="inlineStr">
        <is>
          <t>Huile total</t>
        </is>
      </c>
      <c r="AA4" s="11" t="inlineStr">
        <is>
          <t>Poudre étincelante total</t>
        </is>
      </c>
      <c r="AB4" s="11" t="inlineStr">
        <is>
          <t>Cuir total</t>
        </is>
      </c>
      <c r="AC4" s="11" t="inlineStr">
        <is>
          <t>Fibre total</t>
        </is>
      </c>
      <c r="AD4" s="11" t="inlineStr">
        <is>
          <t>Chaume total</t>
        </is>
      </c>
      <c r="AE4" s="11" t="inlineStr">
        <is>
          <t>Bois total</t>
        </is>
      </c>
      <c r="AF4" s="11" t="inlineStr">
        <is>
          <t>Pierre total</t>
        </is>
      </c>
    </row>
    <row r="5">
      <c r="A5" s="6" t="inlineStr">
        <is>
          <t>Structure des plans (sans la colonnade)</t>
        </is>
      </c>
      <c r="B5" s="6" t="inlineStr">
        <is>
          <t>Pilier fin métal (Thin Pillar)</t>
        </is>
      </c>
      <c r="C5" s="15" t="n">
        <v>1027</v>
      </c>
      <c r="D5" s="6" t="inlineStr">
        <is>
          <t>oui</t>
        </is>
      </c>
      <c r="E5" s="16" t="n">
        <v>13</v>
      </c>
      <c r="F5" s="16" t="n">
        <v>4</v>
      </c>
      <c r="G5" s="16" t="n">
        <v>0</v>
      </c>
      <c r="H5" s="16" t="n">
        <v>0</v>
      </c>
      <c r="I5" s="16" t="n">
        <v>0</v>
      </c>
      <c r="J5" s="16" t="n">
        <v>0</v>
      </c>
      <c r="K5" s="16" t="n">
        <v>0</v>
      </c>
      <c r="L5" s="16" t="n">
        <v>0</v>
      </c>
      <c r="M5" s="16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R5" s="16" t="n">
        <v>0</v>
      </c>
      <c r="S5" s="14">
        <f>$C5*E5</f>
        <v/>
      </c>
      <c r="T5" s="14">
        <f>$C5*F5</f>
        <v/>
      </c>
      <c r="U5" s="14">
        <f>$C5*G5</f>
        <v/>
      </c>
      <c r="V5" s="14">
        <f>$C5*H5</f>
        <v/>
      </c>
      <c r="W5" s="14">
        <f>$C5*I5</f>
        <v/>
      </c>
      <c r="X5" s="14">
        <f>$C5*J5</f>
        <v/>
      </c>
      <c r="Y5" s="14">
        <f>$C5*K5</f>
        <v/>
      </c>
      <c r="Z5" s="14">
        <f>$C5*L5</f>
        <v/>
      </c>
      <c r="AA5" s="14">
        <f>$C5*M5</f>
        <v/>
      </c>
      <c r="AB5" s="14">
        <f>$C5*N5</f>
        <v/>
      </c>
      <c r="AC5" s="14">
        <f>$C5*O5</f>
        <v/>
      </c>
      <c r="AD5" s="14">
        <f>$C5*P5</f>
        <v/>
      </c>
      <c r="AE5" s="14">
        <f>$C5*Q5</f>
        <v/>
      </c>
      <c r="AF5" s="14">
        <f>$C5*R5</f>
        <v/>
      </c>
    </row>
    <row r="6">
      <c r="A6" s="6" t="inlineStr">
        <is>
          <t>Structure des plans (sans la colonnade)</t>
        </is>
      </c>
      <c r="B6" s="6" t="inlineStr">
        <is>
          <t>Rampe inclinée métal (Sloped Railing)</t>
        </is>
      </c>
      <c r="C6" s="15" t="n">
        <v>852</v>
      </c>
      <c r="D6" s="6" t="inlineStr">
        <is>
          <t>oui</t>
        </is>
      </c>
      <c r="E6" s="16" t="n">
        <v>12</v>
      </c>
      <c r="F6" s="16" t="n">
        <v>3</v>
      </c>
      <c r="G6" s="16" t="n">
        <v>0</v>
      </c>
      <c r="H6" s="16" t="n">
        <v>0</v>
      </c>
      <c r="I6" s="16" t="n">
        <v>0</v>
      </c>
      <c r="J6" s="16" t="n">
        <v>0</v>
      </c>
      <c r="K6" s="16" t="n">
        <v>0</v>
      </c>
      <c r="L6" s="16" t="n">
        <v>0</v>
      </c>
      <c r="M6" s="16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R6" s="16" t="n">
        <v>0</v>
      </c>
      <c r="S6" s="14">
        <f>$C6*E6</f>
        <v/>
      </c>
      <c r="T6" s="14">
        <f>$C6*F6</f>
        <v/>
      </c>
      <c r="U6" s="14">
        <f>$C6*G6</f>
        <v/>
      </c>
      <c r="V6" s="14">
        <f>$C6*H6</f>
        <v/>
      </c>
      <c r="W6" s="14">
        <f>$C6*I6</f>
        <v/>
      </c>
      <c r="X6" s="14">
        <f>$C6*J6</f>
        <v/>
      </c>
      <c r="Y6" s="14">
        <f>$C6*K6</f>
        <v/>
      </c>
      <c r="Z6" s="14">
        <f>$C6*L6</f>
        <v/>
      </c>
      <c r="AA6" s="14">
        <f>$C6*M6</f>
        <v/>
      </c>
      <c r="AB6" s="14">
        <f>$C6*N6</f>
        <v/>
      </c>
      <c r="AC6" s="14">
        <f>$C6*O6</f>
        <v/>
      </c>
      <c r="AD6" s="14">
        <f>$C6*P6</f>
        <v/>
      </c>
      <c r="AE6" s="14">
        <f>$C6*Q6</f>
        <v/>
      </c>
      <c r="AF6" s="14">
        <f>$C6*R6</f>
        <v/>
      </c>
    </row>
    <row r="7">
      <c r="A7" s="6" t="inlineStr">
        <is>
          <t>Structure des plans (sans la colonnade)</t>
        </is>
      </c>
      <c r="B7" s="6" t="inlineStr">
        <is>
          <t>Cadre de porte double métal</t>
        </is>
      </c>
      <c r="C7" s="15" t="n">
        <v>774</v>
      </c>
      <c r="D7" s="6" t="inlineStr">
        <is>
          <t>oui</t>
        </is>
      </c>
      <c r="E7" s="16" t="n">
        <v>25</v>
      </c>
      <c r="F7" s="16" t="n">
        <v>7</v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R7" s="16" t="n">
        <v>0</v>
      </c>
      <c r="S7" s="14">
        <f>$C7*E7</f>
        <v/>
      </c>
      <c r="T7" s="14">
        <f>$C7*F7</f>
        <v/>
      </c>
      <c r="U7" s="14">
        <f>$C7*G7</f>
        <v/>
      </c>
      <c r="V7" s="14">
        <f>$C7*H7</f>
        <v/>
      </c>
      <c r="W7" s="14">
        <f>$C7*I7</f>
        <v/>
      </c>
      <c r="X7" s="14">
        <f>$C7*J7</f>
        <v/>
      </c>
      <c r="Y7" s="14">
        <f>$C7*K7</f>
        <v/>
      </c>
      <c r="Z7" s="14">
        <f>$C7*L7</f>
        <v/>
      </c>
      <c r="AA7" s="14">
        <f>$C7*M7</f>
        <v/>
      </c>
      <c r="AB7" s="14">
        <f>$C7*N7</f>
        <v/>
      </c>
      <c r="AC7" s="14">
        <f>$C7*O7</f>
        <v/>
      </c>
      <c r="AD7" s="14">
        <f>$C7*P7</f>
        <v/>
      </c>
      <c r="AE7" s="14">
        <f>$C7*Q7</f>
        <v/>
      </c>
      <c r="AF7" s="14">
        <f>$C7*R7</f>
        <v/>
      </c>
    </row>
    <row r="8">
      <c r="A8" s="6" t="inlineStr">
        <is>
          <t>Structure des plans (sans la colonnade)</t>
        </is>
      </c>
      <c r="B8" s="6" t="inlineStr">
        <is>
          <t>Fondation triangle métal</t>
        </is>
      </c>
      <c r="C8" s="15" t="n">
        <v>684</v>
      </c>
      <c r="D8" s="6" t="inlineStr"/>
      <c r="E8" s="16" t="n">
        <v>25</v>
      </c>
      <c r="F8" s="16" t="n">
        <v>8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R8" s="16" t="n">
        <v>0</v>
      </c>
      <c r="S8" s="14">
        <f>$C8*E8</f>
        <v/>
      </c>
      <c r="T8" s="14">
        <f>$C8*F8</f>
        <v/>
      </c>
      <c r="U8" s="14">
        <f>$C8*G8</f>
        <v/>
      </c>
      <c r="V8" s="14">
        <f>$C8*H8</f>
        <v/>
      </c>
      <c r="W8" s="14">
        <f>$C8*I8</f>
        <v/>
      </c>
      <c r="X8" s="14">
        <f>$C8*J8</f>
        <v/>
      </c>
      <c r="Y8" s="14">
        <f>$C8*K8</f>
        <v/>
      </c>
      <c r="Z8" s="14">
        <f>$C8*L8</f>
        <v/>
      </c>
      <c r="AA8" s="14">
        <f>$C8*M8</f>
        <v/>
      </c>
      <c r="AB8" s="14">
        <f>$C8*N8</f>
        <v/>
      </c>
      <c r="AC8" s="14">
        <f>$C8*O8</f>
        <v/>
      </c>
      <c r="AD8" s="14">
        <f>$C8*P8</f>
        <v/>
      </c>
      <c r="AE8" s="14">
        <f>$C8*Q8</f>
        <v/>
      </c>
      <c r="AF8" s="14">
        <f>$C8*R8</f>
        <v/>
      </c>
    </row>
    <row r="9">
      <c r="A9" s="6" t="inlineStr">
        <is>
          <t>Structure des plans (sans la colonnade)</t>
        </is>
      </c>
      <c r="B9" s="6" t="inlineStr">
        <is>
          <t>Plafond triangle métal</t>
        </is>
      </c>
      <c r="C9" s="15" t="n">
        <v>629</v>
      </c>
      <c r="D9" s="6" t="inlineStr">
        <is>
          <t>oui</t>
        </is>
      </c>
      <c r="E9" s="16" t="n">
        <v>18</v>
      </c>
      <c r="F9" s="16" t="n">
        <v>5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R9" s="16" t="n">
        <v>0</v>
      </c>
      <c r="S9" s="14">
        <f>$C9*E9</f>
        <v/>
      </c>
      <c r="T9" s="14">
        <f>$C9*F9</f>
        <v/>
      </c>
      <c r="U9" s="14">
        <f>$C9*G9</f>
        <v/>
      </c>
      <c r="V9" s="14">
        <f>$C9*H9</f>
        <v/>
      </c>
      <c r="W9" s="14">
        <f>$C9*I9</f>
        <v/>
      </c>
      <c r="X9" s="14">
        <f>$C9*J9</f>
        <v/>
      </c>
      <c r="Y9" s="14">
        <f>$C9*K9</f>
        <v/>
      </c>
      <c r="Z9" s="14">
        <f>$C9*L9</f>
        <v/>
      </c>
      <c r="AA9" s="14">
        <f>$C9*M9</f>
        <v/>
      </c>
      <c r="AB9" s="14">
        <f>$C9*N9</f>
        <v/>
      </c>
      <c r="AC9" s="14">
        <f>$C9*O9</f>
        <v/>
      </c>
      <c r="AD9" s="14">
        <f>$C9*P9</f>
        <v/>
      </c>
      <c r="AE9" s="14">
        <f>$C9*Q9</f>
        <v/>
      </c>
      <c r="AF9" s="14">
        <f>$C9*R9</f>
        <v/>
      </c>
    </row>
    <row r="10">
      <c r="A10" s="6" t="inlineStr">
        <is>
          <t>Structure des plans (sans la colonnade)</t>
        </is>
      </c>
      <c r="B10" s="6" t="inlineStr">
        <is>
          <t>Mur métal</t>
        </is>
      </c>
      <c r="C10" s="15" t="n">
        <v>489</v>
      </c>
      <c r="D10" s="6" t="inlineStr"/>
      <c r="E10" s="16" t="n">
        <v>25</v>
      </c>
      <c r="F10" s="16" t="n">
        <v>7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R10" s="16" t="n">
        <v>0</v>
      </c>
      <c r="S10" s="14">
        <f>$C10*E10</f>
        <v/>
      </c>
      <c r="T10" s="14">
        <f>$C10*F10</f>
        <v/>
      </c>
      <c r="U10" s="14">
        <f>$C10*G10</f>
        <v/>
      </c>
      <c r="V10" s="14">
        <f>$C10*H10</f>
        <v/>
      </c>
      <c r="W10" s="14">
        <f>$C10*I10</f>
        <v/>
      </c>
      <c r="X10" s="14">
        <f>$C10*J10</f>
        <v/>
      </c>
      <c r="Y10" s="14">
        <f>$C10*K10</f>
        <v/>
      </c>
      <c r="Z10" s="14">
        <f>$C10*L10</f>
        <v/>
      </c>
      <c r="AA10" s="14">
        <f>$C10*M10</f>
        <v/>
      </c>
      <c r="AB10" s="14">
        <f>$C10*N10</f>
        <v/>
      </c>
      <c r="AC10" s="14">
        <f>$C10*O10</f>
        <v/>
      </c>
      <c r="AD10" s="14">
        <f>$C10*P10</f>
        <v/>
      </c>
      <c r="AE10" s="14">
        <f>$C10*Q10</f>
        <v/>
      </c>
      <c r="AF10" s="14">
        <f>$C10*R10</f>
        <v/>
      </c>
    </row>
    <row r="11">
      <c r="A11" s="6" t="inlineStr">
        <is>
          <t>Structure des plans (sans la colonnade)</t>
        </is>
      </c>
      <c r="B11" s="6" t="inlineStr">
        <is>
          <t>Fondation métal</t>
        </is>
      </c>
      <c r="C11" s="15" t="n">
        <v>344</v>
      </c>
      <c r="D11" s="6" t="inlineStr"/>
      <c r="E11" s="16" t="n">
        <v>50</v>
      </c>
      <c r="F11" s="16" t="n">
        <v>15</v>
      </c>
      <c r="G11" s="16" t="n">
        <v>0</v>
      </c>
      <c r="H11" s="16" t="n">
        <v>0</v>
      </c>
      <c r="I11" s="16" t="n">
        <v>0</v>
      </c>
      <c r="J11" s="16" t="n">
        <v>0</v>
      </c>
      <c r="K11" s="16" t="n">
        <v>0</v>
      </c>
      <c r="L11" s="16" t="n">
        <v>0</v>
      </c>
      <c r="M11" s="16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R11" s="16" t="n">
        <v>0</v>
      </c>
      <c r="S11" s="14">
        <f>$C11*E11</f>
        <v/>
      </c>
      <c r="T11" s="14">
        <f>$C11*F11</f>
        <v/>
      </c>
      <c r="U11" s="14">
        <f>$C11*G11</f>
        <v/>
      </c>
      <c r="V11" s="14">
        <f>$C11*H11</f>
        <v/>
      </c>
      <c r="W11" s="14">
        <f>$C11*I11</f>
        <v/>
      </c>
      <c r="X11" s="14">
        <f>$C11*J11</f>
        <v/>
      </c>
      <c r="Y11" s="14">
        <f>$C11*K11</f>
        <v/>
      </c>
      <c r="Z11" s="14">
        <f>$C11*L11</f>
        <v/>
      </c>
      <c r="AA11" s="14">
        <f>$C11*M11</f>
        <v/>
      </c>
      <c r="AB11" s="14">
        <f>$C11*N11</f>
        <v/>
      </c>
      <c r="AC11" s="14">
        <f>$C11*O11</f>
        <v/>
      </c>
      <c r="AD11" s="14">
        <f>$C11*P11</f>
        <v/>
      </c>
      <c r="AE11" s="14">
        <f>$C11*Q11</f>
        <v/>
      </c>
      <c r="AF11" s="14">
        <f>$C11*R11</f>
        <v/>
      </c>
    </row>
    <row r="12">
      <c r="A12" s="6" t="inlineStr">
        <is>
          <t>Structure des plans (sans la colonnade)</t>
        </is>
      </c>
      <c r="B12" s="6" t="inlineStr">
        <is>
          <t>Plafond métal</t>
        </is>
      </c>
      <c r="C12" s="15" t="n">
        <v>307</v>
      </c>
      <c r="D12" s="6" t="inlineStr"/>
      <c r="E12" s="16" t="n">
        <v>35</v>
      </c>
      <c r="F12" s="16" t="n">
        <v>10</v>
      </c>
      <c r="G12" s="16" t="n">
        <v>0</v>
      </c>
      <c r="H12" s="16" t="n">
        <v>0</v>
      </c>
      <c r="I12" s="16" t="n">
        <v>0</v>
      </c>
      <c r="J12" s="16" t="n">
        <v>0</v>
      </c>
      <c r="K12" s="16" t="n">
        <v>0</v>
      </c>
      <c r="L12" s="16" t="n">
        <v>0</v>
      </c>
      <c r="M12" s="16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R12" s="16" t="n">
        <v>0</v>
      </c>
      <c r="S12" s="14">
        <f>$C12*E12</f>
        <v/>
      </c>
      <c r="T12" s="14">
        <f>$C12*F12</f>
        <v/>
      </c>
      <c r="U12" s="14">
        <f>$C12*G12</f>
        <v/>
      </c>
      <c r="V12" s="14">
        <f>$C12*H12</f>
        <v/>
      </c>
      <c r="W12" s="14">
        <f>$C12*I12</f>
        <v/>
      </c>
      <c r="X12" s="14">
        <f>$C12*J12</f>
        <v/>
      </c>
      <c r="Y12" s="14">
        <f>$C12*K12</f>
        <v/>
      </c>
      <c r="Z12" s="14">
        <f>$C12*L12</f>
        <v/>
      </c>
      <c r="AA12" s="14">
        <f>$C12*M12</f>
        <v/>
      </c>
      <c r="AB12" s="14">
        <f>$C12*N12</f>
        <v/>
      </c>
      <c r="AC12" s="14">
        <f>$C12*O12</f>
        <v/>
      </c>
      <c r="AD12" s="14">
        <f>$C12*P12</f>
        <v/>
      </c>
      <c r="AE12" s="14">
        <f>$C12*Q12</f>
        <v/>
      </c>
      <c r="AF12" s="14">
        <f>$C12*R12</f>
        <v/>
      </c>
    </row>
    <row r="13">
      <c r="A13" s="6" t="inlineStr">
        <is>
          <t>Structure des plans (sans la colonnade)</t>
        </is>
      </c>
      <c r="B13" s="6" t="inlineStr">
        <is>
          <t>Pilier métal</t>
        </is>
      </c>
      <c r="C13" s="15" t="n">
        <v>240</v>
      </c>
      <c r="D13" s="6" t="inlineStr"/>
      <c r="E13" s="16" t="n">
        <v>25</v>
      </c>
      <c r="F13" s="16" t="n">
        <v>7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R13" s="16" t="n">
        <v>0</v>
      </c>
      <c r="S13" s="14">
        <f>$C13*E13</f>
        <v/>
      </c>
      <c r="T13" s="14">
        <f>$C13*F13</f>
        <v/>
      </c>
      <c r="U13" s="14">
        <f>$C13*G13</f>
        <v/>
      </c>
      <c r="V13" s="14">
        <f>$C13*H13</f>
        <v/>
      </c>
      <c r="W13" s="14">
        <f>$C13*I13</f>
        <v/>
      </c>
      <c r="X13" s="14">
        <f>$C13*J13</f>
        <v/>
      </c>
      <c r="Y13" s="14">
        <f>$C13*K13</f>
        <v/>
      </c>
      <c r="Z13" s="14">
        <f>$C13*L13</f>
        <v/>
      </c>
      <c r="AA13" s="14">
        <f>$C13*M13</f>
        <v/>
      </c>
      <c r="AB13" s="14">
        <f>$C13*N13</f>
        <v/>
      </c>
      <c r="AC13" s="14">
        <f>$C13*O13</f>
        <v/>
      </c>
      <c r="AD13" s="14">
        <f>$C13*P13</f>
        <v/>
      </c>
      <c r="AE13" s="14">
        <f>$C13*Q13</f>
        <v/>
      </c>
      <c r="AF13" s="14">
        <f>$C13*R13</f>
        <v/>
      </c>
    </row>
    <row r="14">
      <c r="A14" s="6" t="inlineStr">
        <is>
          <t>Structure des plans (sans la colonnade)</t>
        </is>
      </c>
      <c r="B14" s="6" t="inlineStr">
        <is>
          <t>Pilier fin couché métal (Flat Thin Pillar)</t>
        </is>
      </c>
      <c r="C14" s="15" t="n">
        <v>94</v>
      </c>
      <c r="D14" s="6" t="inlineStr">
        <is>
          <t>oui</t>
        </is>
      </c>
      <c r="E14" s="16" t="n">
        <v>13</v>
      </c>
      <c r="F14" s="16" t="n">
        <v>4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R14" s="16" t="n">
        <v>0</v>
      </c>
      <c r="S14" s="14">
        <f>$C14*E14</f>
        <v/>
      </c>
      <c r="T14" s="14">
        <f>$C14*F14</f>
        <v/>
      </c>
      <c r="U14" s="14">
        <f>$C14*G14</f>
        <v/>
      </c>
      <c r="V14" s="14">
        <f>$C14*H14</f>
        <v/>
      </c>
      <c r="W14" s="14">
        <f>$C14*I14</f>
        <v/>
      </c>
      <c r="X14" s="14">
        <f>$C14*J14</f>
        <v/>
      </c>
      <c r="Y14" s="14">
        <f>$C14*K14</f>
        <v/>
      </c>
      <c r="Z14" s="14">
        <f>$C14*L14</f>
        <v/>
      </c>
      <c r="AA14" s="14">
        <f>$C14*M14</f>
        <v/>
      </c>
      <c r="AB14" s="14">
        <f>$C14*N14</f>
        <v/>
      </c>
      <c r="AC14" s="14">
        <f>$C14*O14</f>
        <v/>
      </c>
      <c r="AD14" s="14">
        <f>$C14*P14</f>
        <v/>
      </c>
      <c r="AE14" s="14">
        <f>$C14*Q14</f>
        <v/>
      </c>
      <c r="AF14" s="14">
        <f>$C14*R14</f>
        <v/>
      </c>
    </row>
    <row r="15">
      <c r="A15" s="6" t="inlineStr">
        <is>
          <t>Structure des plans (sans la colonnade)</t>
        </is>
      </c>
      <c r="B15" s="6" t="inlineStr">
        <is>
          <t>Demi-pilier fin métal (Half Thin Pillar)</t>
        </is>
      </c>
      <c r="C15" s="15" t="n">
        <v>43</v>
      </c>
      <c r="D15" s="6" t="inlineStr">
        <is>
          <t>oui</t>
        </is>
      </c>
      <c r="E15" s="16" t="n">
        <v>7</v>
      </c>
      <c r="F15" s="16" t="n">
        <v>2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R15" s="16" t="n">
        <v>0</v>
      </c>
      <c r="S15" s="14">
        <f>$C15*E15</f>
        <v/>
      </c>
      <c r="T15" s="14">
        <f>$C15*F15</f>
        <v/>
      </c>
      <c r="U15" s="14">
        <f>$C15*G15</f>
        <v/>
      </c>
      <c r="V15" s="14">
        <f>$C15*H15</f>
        <v/>
      </c>
      <c r="W15" s="14">
        <f>$C15*I15</f>
        <v/>
      </c>
      <c r="X15" s="14">
        <f>$C15*J15</f>
        <v/>
      </c>
      <c r="Y15" s="14">
        <f>$C15*K15</f>
        <v/>
      </c>
      <c r="Z15" s="14">
        <f>$C15*L15</f>
        <v/>
      </c>
      <c r="AA15" s="14">
        <f>$C15*M15</f>
        <v/>
      </c>
      <c r="AB15" s="14">
        <f>$C15*N15</f>
        <v/>
      </c>
      <c r="AC15" s="14">
        <f>$C15*O15</f>
        <v/>
      </c>
      <c r="AD15" s="14">
        <f>$C15*P15</f>
        <v/>
      </c>
      <c r="AE15" s="14">
        <f>$C15*Q15</f>
        <v/>
      </c>
      <c r="AF15" s="14">
        <f>$C15*R15</f>
        <v/>
      </c>
    </row>
    <row r="16">
      <c r="A16" s="6" t="inlineStr">
        <is>
          <t>Structure des plans (sans la colonnade)</t>
        </is>
      </c>
      <c r="B16" s="6" t="inlineStr">
        <is>
          <t>Escalier métal</t>
        </is>
      </c>
      <c r="C16" s="15" t="n">
        <v>6</v>
      </c>
      <c r="D16" s="6" t="inlineStr">
        <is>
          <t>oui</t>
        </is>
      </c>
      <c r="E16" s="16" t="n">
        <v>50</v>
      </c>
      <c r="F16" s="16" t="n">
        <v>15</v>
      </c>
      <c r="G16" s="16" t="n">
        <v>0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R16" s="16" t="n">
        <v>0</v>
      </c>
      <c r="S16" s="14">
        <f>$C16*E16</f>
        <v/>
      </c>
      <c r="T16" s="14">
        <f>$C16*F16</f>
        <v/>
      </c>
      <c r="U16" s="14">
        <f>$C16*G16</f>
        <v/>
      </c>
      <c r="V16" s="14">
        <f>$C16*H16</f>
        <v/>
      </c>
      <c r="W16" s="14">
        <f>$C16*I16</f>
        <v/>
      </c>
      <c r="X16" s="14">
        <f>$C16*J16</f>
        <v/>
      </c>
      <c r="Y16" s="14">
        <f>$C16*K16</f>
        <v/>
      </c>
      <c r="Z16" s="14">
        <f>$C16*L16</f>
        <v/>
      </c>
      <c r="AA16" s="14">
        <f>$C16*M16</f>
        <v/>
      </c>
      <c r="AB16" s="14">
        <f>$C16*N16</f>
        <v/>
      </c>
      <c r="AC16" s="14">
        <f>$C16*O16</f>
        <v/>
      </c>
      <c r="AD16" s="14">
        <f>$C16*P16</f>
        <v/>
      </c>
      <c r="AE16" s="14">
        <f>$C16*Q16</f>
        <v/>
      </c>
      <c r="AF16" s="14">
        <f>$C16*R16</f>
        <v/>
      </c>
    </row>
    <row r="17">
      <c r="A17" s="6" t="inlineStr">
        <is>
          <t>Structure des plans (sans la colonnade)</t>
        </is>
      </c>
      <c r="B17" s="6" t="inlineStr">
        <is>
          <t>Plafond à trappe métal</t>
        </is>
      </c>
      <c r="C17" s="15" t="n">
        <v>6</v>
      </c>
      <c r="D17" s="6" t="inlineStr">
        <is>
          <t>oui</t>
        </is>
      </c>
      <c r="E17" s="16" t="n">
        <v>35</v>
      </c>
      <c r="F17" s="16" t="n">
        <v>10</v>
      </c>
      <c r="G17" s="16" t="n">
        <v>0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16" t="n">
        <v>0</v>
      </c>
      <c r="O17" s="16" t="n">
        <v>0</v>
      </c>
      <c r="P17" s="16" t="n">
        <v>0</v>
      </c>
      <c r="Q17" s="16" t="n">
        <v>0</v>
      </c>
      <c r="R17" s="16" t="n">
        <v>0</v>
      </c>
      <c r="S17" s="14">
        <f>$C17*E17</f>
        <v/>
      </c>
      <c r="T17" s="14">
        <f>$C17*F17</f>
        <v/>
      </c>
      <c r="U17" s="14">
        <f>$C17*G17</f>
        <v/>
      </c>
      <c r="V17" s="14">
        <f>$C17*H17</f>
        <v/>
      </c>
      <c r="W17" s="14">
        <f>$C17*I17</f>
        <v/>
      </c>
      <c r="X17" s="14">
        <f>$C17*J17</f>
        <v/>
      </c>
      <c r="Y17" s="14">
        <f>$C17*K17</f>
        <v/>
      </c>
      <c r="Z17" s="14">
        <f>$C17*L17</f>
        <v/>
      </c>
      <c r="AA17" s="14">
        <f>$C17*M17</f>
        <v/>
      </c>
      <c r="AB17" s="14">
        <f>$C17*N17</f>
        <v/>
      </c>
      <c r="AC17" s="14">
        <f>$C17*O17</f>
        <v/>
      </c>
      <c r="AD17" s="14">
        <f>$C17*P17</f>
        <v/>
      </c>
      <c r="AE17" s="14">
        <f>$C17*Q17</f>
        <v/>
      </c>
      <c r="AF17" s="14">
        <f>$C17*R17</f>
        <v/>
      </c>
    </row>
    <row r="18">
      <c r="A18" s="6" t="inlineStr">
        <is>
          <t>Carrés de culture (Plant X)</t>
        </is>
      </c>
      <c r="B18" s="6" t="inlineStr">
        <is>
          <t>Grand carré de culture (Plant Species X)</t>
        </is>
      </c>
      <c r="C18" s="15" t="n">
        <v>15</v>
      </c>
      <c r="D18" s="6" t="inlineStr">
        <is>
          <t>oui</t>
        </is>
      </c>
      <c r="E18" s="16" t="n">
        <v>0</v>
      </c>
      <c r="F18" s="16" t="n">
        <v>0</v>
      </c>
      <c r="G18" s="16" t="n">
        <v>0</v>
      </c>
      <c r="H18" s="16" t="n">
        <v>0</v>
      </c>
      <c r="I18" s="16" t="n">
        <v>0</v>
      </c>
      <c r="J18" s="16" t="n">
        <v>0</v>
      </c>
      <c r="K18" s="16" t="n">
        <v>0</v>
      </c>
      <c r="L18" s="16" t="n">
        <v>0</v>
      </c>
      <c r="M18" s="16" t="n">
        <v>0</v>
      </c>
      <c r="N18" s="16" t="n">
        <v>0</v>
      </c>
      <c r="O18" s="16" t="n">
        <v>40</v>
      </c>
      <c r="P18" s="16" t="n">
        <v>50</v>
      </c>
      <c r="Q18" s="16" t="n">
        <v>40</v>
      </c>
      <c r="R18" s="16" t="n">
        <v>100</v>
      </c>
      <c r="S18" s="14">
        <f>$C18*E18</f>
        <v/>
      </c>
      <c r="T18" s="14">
        <f>$C18*F18</f>
        <v/>
      </c>
      <c r="U18" s="14">
        <f>$C18*G18</f>
        <v/>
      </c>
      <c r="V18" s="14">
        <f>$C18*H18</f>
        <v/>
      </c>
      <c r="W18" s="14">
        <f>$C18*I18</f>
        <v/>
      </c>
      <c r="X18" s="14">
        <f>$C18*J18</f>
        <v/>
      </c>
      <c r="Y18" s="14">
        <f>$C18*K18</f>
        <v/>
      </c>
      <c r="Z18" s="14">
        <f>$C18*L18</f>
        <v/>
      </c>
      <c r="AA18" s="14">
        <f>$C18*M18</f>
        <v/>
      </c>
      <c r="AB18" s="14">
        <f>$C18*N18</f>
        <v/>
      </c>
      <c r="AC18" s="14">
        <f>$C18*O18</f>
        <v/>
      </c>
      <c r="AD18" s="14">
        <f>$C18*P18</f>
        <v/>
      </c>
      <c r="AE18" s="14">
        <f>$C18*Q18</f>
        <v/>
      </c>
      <c r="AF18" s="14">
        <f>$C18*R18</f>
        <v/>
      </c>
    </row>
    <row r="19">
      <c r="A19" s="6" t="inlineStr">
        <is>
          <t>Ancres temporaires (démolies)</t>
        </is>
      </c>
      <c r="B19" s="6" t="inlineStr">
        <is>
          <t>Demi-pilier métal (ancre)</t>
        </is>
      </c>
      <c r="C19" s="15" t="n">
        <v>8</v>
      </c>
      <c r="D19" s="6" t="inlineStr">
        <is>
          <t>oui</t>
        </is>
      </c>
      <c r="E19" s="16" t="n">
        <v>13</v>
      </c>
      <c r="F19" s="16" t="n">
        <v>4</v>
      </c>
      <c r="G19" s="16" t="n">
        <v>0</v>
      </c>
      <c r="H19" s="16" t="n">
        <v>0</v>
      </c>
      <c r="I19" s="16" t="n">
        <v>0</v>
      </c>
      <c r="J19" s="16" t="n">
        <v>0</v>
      </c>
      <c r="K19" s="16" t="n">
        <v>0</v>
      </c>
      <c r="L19" s="16" t="n">
        <v>0</v>
      </c>
      <c r="M19" s="16" t="n">
        <v>0</v>
      </c>
      <c r="N19" s="16" t="n">
        <v>0</v>
      </c>
      <c r="O19" s="16" t="n">
        <v>0</v>
      </c>
      <c r="P19" s="16" t="n">
        <v>0</v>
      </c>
      <c r="Q19" s="16" t="n">
        <v>0</v>
      </c>
      <c r="R19" s="16" t="n">
        <v>0</v>
      </c>
      <c r="S19" s="14">
        <f>$C19*E19</f>
        <v/>
      </c>
      <c r="T19" s="14">
        <f>$C19*F19</f>
        <v/>
      </c>
      <c r="U19" s="14">
        <f>$C19*G19</f>
        <v/>
      </c>
      <c r="V19" s="14">
        <f>$C19*H19</f>
        <v/>
      </c>
      <c r="W19" s="14">
        <f>$C19*I19</f>
        <v/>
      </c>
      <c r="X19" s="14">
        <f>$C19*J19</f>
        <v/>
      </c>
      <c r="Y19" s="14">
        <f>$C19*K19</f>
        <v/>
      </c>
      <c r="Z19" s="14">
        <f>$C19*L19</f>
        <v/>
      </c>
      <c r="AA19" s="14">
        <f>$C19*M19</f>
        <v/>
      </c>
      <c r="AB19" s="14">
        <f>$C19*N19</f>
        <v/>
      </c>
      <c r="AC19" s="14">
        <f>$C19*O19</f>
        <v/>
      </c>
      <c r="AD19" s="14">
        <f>$C19*P19</f>
        <v/>
      </c>
      <c r="AE19" s="14">
        <f>$C19*Q19</f>
        <v/>
      </c>
      <c r="AF19" s="14">
        <f>$C19*R19</f>
        <v/>
      </c>
    </row>
    <row r="20">
      <c r="A20" s="6" t="inlineStr">
        <is>
          <t>Murs de pics</t>
        </is>
      </c>
      <c r="B20" s="6" t="inlineStr">
        <is>
          <t>Mur de pics métal</t>
        </is>
      </c>
      <c r="C20" s="15" t="n">
        <v>74</v>
      </c>
      <c r="D20" s="6" t="inlineStr"/>
      <c r="E20" s="16" t="n">
        <v>25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20</v>
      </c>
      <c r="O20" s="16" t="n">
        <v>30</v>
      </c>
      <c r="P20" s="16" t="n">
        <v>0</v>
      </c>
      <c r="Q20" s="16" t="n">
        <v>0</v>
      </c>
      <c r="R20" s="16" t="n">
        <v>0</v>
      </c>
      <c r="S20" s="14">
        <f>$C20*E20</f>
        <v/>
      </c>
      <c r="T20" s="14">
        <f>$C20*F20</f>
        <v/>
      </c>
      <c r="U20" s="14">
        <f>$C20*G20</f>
        <v/>
      </c>
      <c r="V20" s="14">
        <f>$C20*H20</f>
        <v/>
      </c>
      <c r="W20" s="14">
        <f>$C20*I20</f>
        <v/>
      </c>
      <c r="X20" s="14">
        <f>$C20*J20</f>
        <v/>
      </c>
      <c r="Y20" s="14">
        <f>$C20*K20</f>
        <v/>
      </c>
      <c r="Z20" s="14">
        <f>$C20*L20</f>
        <v/>
      </c>
      <c r="AA20" s="14">
        <f>$C20*M20</f>
        <v/>
      </c>
      <c r="AB20" s="14">
        <f>$C20*N20</f>
        <v/>
      </c>
      <c r="AC20" s="14">
        <f>$C20*O20</f>
        <v/>
      </c>
      <c r="AD20" s="14">
        <f>$C20*P20</f>
        <v/>
      </c>
      <c r="AE20" s="14">
        <f>$C20*Q20</f>
        <v/>
      </c>
      <c r="AF20" s="14">
        <f>$C20*R20</f>
        <v/>
      </c>
    </row>
    <row r="21">
      <c r="A21" s="6" t="inlineStr">
        <is>
          <t>Murs de chaume (démolis)</t>
        </is>
      </c>
      <c r="B21" s="6" t="inlineStr">
        <is>
          <t>Mur de chaume (gabarit de pose, à démolir)</t>
        </is>
      </c>
      <c r="C21" s="15" t="n">
        <v>79</v>
      </c>
      <c r="D21" s="6" t="inlineStr">
        <is>
          <t>oui</t>
        </is>
      </c>
      <c r="E21" s="16" t="n">
        <v>0</v>
      </c>
      <c r="F21" s="16" t="n">
        <v>0</v>
      </c>
      <c r="G21" s="16" t="n">
        <v>0</v>
      </c>
      <c r="H21" s="16" t="n">
        <v>0</v>
      </c>
      <c r="I21" s="16" t="n">
        <v>0</v>
      </c>
      <c r="J21" s="16" t="n">
        <v>0</v>
      </c>
      <c r="K21" s="16" t="n">
        <v>0</v>
      </c>
      <c r="L21" s="16" t="n">
        <v>0</v>
      </c>
      <c r="M21" s="16" t="n">
        <v>0</v>
      </c>
      <c r="N21" s="16" t="n">
        <v>0</v>
      </c>
      <c r="O21" s="16" t="n">
        <v>4</v>
      </c>
      <c r="P21" s="16" t="n">
        <v>7</v>
      </c>
      <c r="Q21" s="16" t="n">
        <v>4</v>
      </c>
      <c r="R21" s="16" t="n">
        <v>0</v>
      </c>
      <c r="S21" s="14">
        <f>$C21*E21</f>
        <v/>
      </c>
      <c r="T21" s="14">
        <f>$C21*F21</f>
        <v/>
      </c>
      <c r="U21" s="14">
        <f>$C21*G21</f>
        <v/>
      </c>
      <c r="V21" s="14">
        <f>$C21*H21</f>
        <v/>
      </c>
      <c r="W21" s="14">
        <f>$C21*I21</f>
        <v/>
      </c>
      <c r="X21" s="14">
        <f>$C21*J21</f>
        <v/>
      </c>
      <c r="Y21" s="14">
        <f>$C21*K21</f>
        <v/>
      </c>
      <c r="Z21" s="14">
        <f>$C21*L21</f>
        <v/>
      </c>
      <c r="AA21" s="14">
        <f>$C21*M21</f>
        <v/>
      </c>
      <c r="AB21" s="14">
        <f>$C21*N21</f>
        <v/>
      </c>
      <c r="AC21" s="14">
        <f>$C21*O21</f>
        <v/>
      </c>
      <c r="AD21" s="14">
        <f>$C21*P21</f>
        <v/>
      </c>
      <c r="AE21" s="14">
        <f>$C21*Q21</f>
        <v/>
      </c>
      <c r="AF21" s="14">
        <f>$C21*R21</f>
        <v/>
      </c>
    </row>
    <row r="22">
      <c r="A22" s="6" t="inlineStr">
        <is>
          <t>Équipements</t>
        </is>
      </c>
      <c r="B22" s="6" t="inlineStr">
        <is>
          <t>Stockage dédié Tek (Tek Dedicated Storage)</t>
        </is>
      </c>
      <c r="C22" s="15" t="n">
        <v>20</v>
      </c>
      <c r="D22" s="6" t="inlineStr"/>
      <c r="E22" s="16" t="n">
        <v>125</v>
      </c>
      <c r="F22" s="16" t="n">
        <v>0</v>
      </c>
      <c r="G22" s="16" t="n">
        <v>0</v>
      </c>
      <c r="H22" s="16" t="n">
        <v>55</v>
      </c>
      <c r="I22" s="16" t="n">
        <v>75</v>
      </c>
      <c r="J22" s="16" t="n">
        <v>3</v>
      </c>
      <c r="K22" s="16" t="n">
        <v>4</v>
      </c>
      <c r="L22" s="16" t="n">
        <v>0</v>
      </c>
      <c r="M22" s="16" t="n">
        <v>0</v>
      </c>
      <c r="N22" s="16" t="n">
        <v>0</v>
      </c>
      <c r="O22" s="16" t="n">
        <v>0</v>
      </c>
      <c r="P22" s="16" t="n">
        <v>0</v>
      </c>
      <c r="Q22" s="16" t="n">
        <v>0</v>
      </c>
      <c r="R22" s="16" t="n">
        <v>0</v>
      </c>
      <c r="S22" s="14">
        <f>$C22*E22</f>
        <v/>
      </c>
      <c r="T22" s="14">
        <f>$C22*F22</f>
        <v/>
      </c>
      <c r="U22" s="14">
        <f>$C22*G22</f>
        <v/>
      </c>
      <c r="V22" s="14">
        <f>$C22*H22</f>
        <v/>
      </c>
      <c r="W22" s="14">
        <f>$C22*I22</f>
        <v/>
      </c>
      <c r="X22" s="14">
        <f>$C22*J22</f>
        <v/>
      </c>
      <c r="Y22" s="14">
        <f>$C22*K22</f>
        <v/>
      </c>
      <c r="Z22" s="14">
        <f>$C22*L22</f>
        <v/>
      </c>
      <c r="AA22" s="14">
        <f>$C22*M22</f>
        <v/>
      </c>
      <c r="AB22" s="14">
        <f>$C22*N22</f>
        <v/>
      </c>
      <c r="AC22" s="14">
        <f>$C22*O22</f>
        <v/>
      </c>
      <c r="AD22" s="14">
        <f>$C22*P22</f>
        <v/>
      </c>
      <c r="AE22" s="14">
        <f>$C22*Q22</f>
        <v/>
      </c>
      <c r="AF22" s="14">
        <f>$C22*R22</f>
        <v/>
      </c>
    </row>
    <row r="23">
      <c r="A23" s="6" t="inlineStr">
        <is>
          <t>Équipements</t>
        </is>
      </c>
      <c r="B23" s="6" t="inlineStr">
        <is>
          <t>Coffre-fort (Vault)</t>
        </is>
      </c>
      <c r="C23" s="15" t="n">
        <v>20</v>
      </c>
      <c r="D23" s="6" t="inlineStr">
        <is>
          <t>oui</t>
        </is>
      </c>
      <c r="E23" s="16" t="n">
        <v>500</v>
      </c>
      <c r="F23" s="16" t="n">
        <v>100</v>
      </c>
      <c r="G23" s="16" t="n">
        <v>0</v>
      </c>
      <c r="H23" s="16" t="n">
        <v>90</v>
      </c>
      <c r="I23" s="16" t="n">
        <v>0</v>
      </c>
      <c r="J23" s="16" t="n">
        <v>0</v>
      </c>
      <c r="K23" s="16" t="n">
        <v>0</v>
      </c>
      <c r="L23" s="16" t="n">
        <v>70</v>
      </c>
      <c r="M23" s="16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R23" s="16" t="n">
        <v>0</v>
      </c>
      <c r="S23" s="14">
        <f>$C23*E23</f>
        <v/>
      </c>
      <c r="T23" s="14">
        <f>$C23*F23</f>
        <v/>
      </c>
      <c r="U23" s="14">
        <f>$C23*G23</f>
        <v/>
      </c>
      <c r="V23" s="14">
        <f>$C23*H23</f>
        <v/>
      </c>
      <c r="W23" s="14">
        <f>$C23*I23</f>
        <v/>
      </c>
      <c r="X23" s="14">
        <f>$C23*J23</f>
        <v/>
      </c>
      <c r="Y23" s="14">
        <f>$C23*K23</f>
        <v/>
      </c>
      <c r="Z23" s="14">
        <f>$C23*L23</f>
        <v/>
      </c>
      <c r="AA23" s="14">
        <f>$C23*M23</f>
        <v/>
      </c>
      <c r="AB23" s="14">
        <f>$C23*N23</f>
        <v/>
      </c>
      <c r="AC23" s="14">
        <f>$C23*O23</f>
        <v/>
      </c>
      <c r="AD23" s="14">
        <f>$C23*P23</f>
        <v/>
      </c>
      <c r="AE23" s="14">
        <f>$C23*Q23</f>
        <v/>
      </c>
      <c r="AF23" s="14">
        <f>$C23*R23</f>
        <v/>
      </c>
    </row>
    <row r="24">
      <c r="A24" s="6" t="inlineStr">
        <is>
          <t>Équipements</t>
        </is>
      </c>
      <c r="B24" s="6" t="inlineStr">
        <is>
          <t>Générateur Tek</t>
        </is>
      </c>
      <c r="C24" s="15" t="n">
        <v>2</v>
      </c>
      <c r="D24" s="6" t="inlineStr"/>
      <c r="E24" s="16" t="n">
        <v>2400</v>
      </c>
      <c r="F24" s="16" t="n">
        <v>0</v>
      </c>
      <c r="G24" s="16" t="n">
        <v>0</v>
      </c>
      <c r="H24" s="16" t="n">
        <v>500</v>
      </c>
      <c r="I24" s="16" t="n">
        <v>250</v>
      </c>
      <c r="J24" s="16" t="n">
        <v>30</v>
      </c>
      <c r="K24" s="16" t="n">
        <v>120</v>
      </c>
      <c r="L24" s="16" t="n">
        <v>0</v>
      </c>
      <c r="M24" s="16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R24" s="16" t="n">
        <v>0</v>
      </c>
      <c r="S24" s="14">
        <f>$C24*E24</f>
        <v/>
      </c>
      <c r="T24" s="14">
        <f>$C24*F24</f>
        <v/>
      </c>
      <c r="U24" s="14">
        <f>$C24*G24</f>
        <v/>
      </c>
      <c r="V24" s="14">
        <f>$C24*H24</f>
        <v/>
      </c>
      <c r="W24" s="14">
        <f>$C24*I24</f>
        <v/>
      </c>
      <c r="X24" s="14">
        <f>$C24*J24</f>
        <v/>
      </c>
      <c r="Y24" s="14">
        <f>$C24*K24</f>
        <v/>
      </c>
      <c r="Z24" s="14">
        <f>$C24*L24</f>
        <v/>
      </c>
      <c r="AA24" s="14">
        <f>$C24*M24</f>
        <v/>
      </c>
      <c r="AB24" s="14">
        <f>$C24*N24</f>
        <v/>
      </c>
      <c r="AC24" s="14">
        <f>$C24*O24</f>
        <v/>
      </c>
      <c r="AD24" s="14">
        <f>$C24*P24</f>
        <v/>
      </c>
      <c r="AE24" s="14">
        <f>$C24*Q24</f>
        <v/>
      </c>
      <c r="AF24" s="14">
        <f>$C24*R24</f>
        <v/>
      </c>
    </row>
    <row r="25">
      <c r="A25" s="6" t="inlineStr">
        <is>
          <t>Équipements</t>
        </is>
      </c>
      <c r="B25" s="6" t="inlineStr">
        <is>
          <t>Réplicateur Tek</t>
        </is>
      </c>
      <c r="C25" s="15" t="n">
        <v>1</v>
      </c>
      <c r="D25" s="6" t="inlineStr"/>
      <c r="E25" s="16" t="n">
        <v>5000</v>
      </c>
      <c r="F25" s="16" t="n">
        <v>0</v>
      </c>
      <c r="G25" s="16" t="n">
        <v>0</v>
      </c>
      <c r="H25" s="16" t="n">
        <v>800</v>
      </c>
      <c r="I25" s="16" t="n">
        <v>600</v>
      </c>
      <c r="J25" s="16" t="n">
        <v>100</v>
      </c>
      <c r="K25" s="16" t="n">
        <v>150</v>
      </c>
      <c r="L25" s="16" t="n">
        <v>0</v>
      </c>
      <c r="M25" s="16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R25" s="16" t="n">
        <v>0</v>
      </c>
      <c r="S25" s="14">
        <f>$C25*E25</f>
        <v/>
      </c>
      <c r="T25" s="14">
        <f>$C25*F25</f>
        <v/>
      </c>
      <c r="U25" s="14">
        <f>$C25*G25</f>
        <v/>
      </c>
      <c r="V25" s="14">
        <f>$C25*H25</f>
        <v/>
      </c>
      <c r="W25" s="14">
        <f>$C25*I25</f>
        <v/>
      </c>
      <c r="X25" s="14">
        <f>$C25*J25</f>
        <v/>
      </c>
      <c r="Y25" s="14">
        <f>$C25*K25</f>
        <v/>
      </c>
      <c r="Z25" s="14">
        <f>$C25*L25</f>
        <v/>
      </c>
      <c r="AA25" s="14">
        <f>$C25*M25</f>
        <v/>
      </c>
      <c r="AB25" s="14">
        <f>$C25*N25</f>
        <v/>
      </c>
      <c r="AC25" s="14">
        <f>$C25*O25</f>
        <v/>
      </c>
      <c r="AD25" s="14">
        <f>$C25*P25</f>
        <v/>
      </c>
      <c r="AE25" s="14">
        <f>$C25*Q25</f>
        <v/>
      </c>
      <c r="AF25" s="14">
        <f>$C25*R25</f>
        <v/>
      </c>
    </row>
    <row r="26">
      <c r="A26" s="6" t="inlineStr">
        <is>
          <t>Équipements</t>
        </is>
      </c>
      <c r="B26" s="6" t="inlineStr">
        <is>
          <t>Forge à vapeur (Steam Forge)</t>
        </is>
      </c>
      <c r="C26" s="15" t="n">
        <v>1</v>
      </c>
      <c r="D26" s="6" t="inlineStr"/>
      <c r="E26" s="16" t="n">
        <v>3250</v>
      </c>
      <c r="F26" s="16" t="n">
        <v>600</v>
      </c>
      <c r="G26" s="16" t="n">
        <v>200</v>
      </c>
      <c r="H26" s="16" t="n">
        <v>1000</v>
      </c>
      <c r="I26" s="16" t="n">
        <v>500</v>
      </c>
      <c r="J26" s="16" t="n">
        <v>0</v>
      </c>
      <c r="K26" s="16" t="n">
        <v>0</v>
      </c>
      <c r="L26" s="16" t="n">
        <v>0</v>
      </c>
      <c r="M26" s="16" t="n">
        <v>0</v>
      </c>
      <c r="N26" s="16" t="n">
        <v>0</v>
      </c>
      <c r="O26" s="16" t="n">
        <v>0</v>
      </c>
      <c r="P26" s="16" t="n">
        <v>0</v>
      </c>
      <c r="Q26" s="16" t="n">
        <v>0</v>
      </c>
      <c r="R26" s="16" t="n">
        <v>0</v>
      </c>
      <c r="S26" s="14">
        <f>$C26*E26</f>
        <v/>
      </c>
      <c r="T26" s="14">
        <f>$C26*F26</f>
        <v/>
      </c>
      <c r="U26" s="14">
        <f>$C26*G26</f>
        <v/>
      </c>
      <c r="V26" s="14">
        <f>$C26*H26</f>
        <v/>
      </c>
      <c r="W26" s="14">
        <f>$C26*I26</f>
        <v/>
      </c>
      <c r="X26" s="14">
        <f>$C26*J26</f>
        <v/>
      </c>
      <c r="Y26" s="14">
        <f>$C26*K26</f>
        <v/>
      </c>
      <c r="Z26" s="14">
        <f>$C26*L26</f>
        <v/>
      </c>
      <c r="AA26" s="14">
        <f>$C26*M26</f>
        <v/>
      </c>
      <c r="AB26" s="14">
        <f>$C26*N26</f>
        <v/>
      </c>
      <c r="AC26" s="14">
        <f>$C26*O26</f>
        <v/>
      </c>
      <c r="AD26" s="14">
        <f>$C26*P26</f>
        <v/>
      </c>
      <c r="AE26" s="14">
        <f>$C26*Q26</f>
        <v/>
      </c>
      <c r="AF26" s="14">
        <f>$C26*R26</f>
        <v/>
      </c>
    </row>
    <row r="27">
      <c r="A27" s="6" t="inlineStr">
        <is>
          <t>Équipements</t>
        </is>
      </c>
      <c r="B27" s="6" t="inlineStr">
        <is>
          <t>Labo de fortune (Makeshift Megalab)</t>
        </is>
      </c>
      <c r="C27" s="15" t="n">
        <v>1</v>
      </c>
      <c r="D27" s="6" t="inlineStr"/>
      <c r="E27" s="16" t="n">
        <v>450</v>
      </c>
      <c r="F27" s="16" t="n">
        <v>300</v>
      </c>
      <c r="G27" s="16" t="n">
        <v>20</v>
      </c>
      <c r="H27" s="16" t="n">
        <v>150</v>
      </c>
      <c r="I27" s="16" t="n">
        <v>250</v>
      </c>
      <c r="J27" s="16" t="n">
        <v>0</v>
      </c>
      <c r="K27" s="16" t="n">
        <v>0</v>
      </c>
      <c r="L27" s="16" t="n">
        <v>0</v>
      </c>
      <c r="M27" s="16" t="n">
        <v>100</v>
      </c>
      <c r="N27" s="16" t="n">
        <v>0</v>
      </c>
      <c r="O27" s="16" t="n">
        <v>0</v>
      </c>
      <c r="P27" s="16" t="n">
        <v>0</v>
      </c>
      <c r="Q27" s="16" t="n">
        <v>0</v>
      </c>
      <c r="R27" s="16" t="n">
        <v>0</v>
      </c>
      <c r="S27" s="14">
        <f>$C27*E27</f>
        <v/>
      </c>
      <c r="T27" s="14">
        <f>$C27*F27</f>
        <v/>
      </c>
      <c r="U27" s="14">
        <f>$C27*G27</f>
        <v/>
      </c>
      <c r="V27" s="14">
        <f>$C27*H27</f>
        <v/>
      </c>
      <c r="W27" s="14">
        <f>$C27*I27</f>
        <v/>
      </c>
      <c r="X27" s="14">
        <f>$C27*J27</f>
        <v/>
      </c>
      <c r="Y27" s="14">
        <f>$C27*K27</f>
        <v/>
      </c>
      <c r="Z27" s="14">
        <f>$C27*L27</f>
        <v/>
      </c>
      <c r="AA27" s="14">
        <f>$C27*M27</f>
        <v/>
      </c>
      <c r="AB27" s="14">
        <f>$C27*N27</f>
        <v/>
      </c>
      <c r="AC27" s="14">
        <f>$C27*O27</f>
        <v/>
      </c>
      <c r="AD27" s="14">
        <f>$C27*P27</f>
        <v/>
      </c>
      <c r="AE27" s="14">
        <f>$C27*Q27</f>
        <v/>
      </c>
      <c r="AF27" s="14">
        <f>$C27*R27</f>
        <v/>
      </c>
    </row>
    <row r="28">
      <c r="A28" s="6" t="inlineStr">
        <is>
          <t>Tourelles (déjà en inventaire)</t>
        </is>
      </c>
      <c r="B28" s="6" t="inlineStr">
        <is>
          <t>Tourelle lourde (Heavy)</t>
        </is>
      </c>
      <c r="C28" s="15" t="n">
        <v>52</v>
      </c>
      <c r="D28" s="6" t="inlineStr"/>
      <c r="E28" s="16" t="n">
        <v>540</v>
      </c>
      <c r="F28" s="16" t="n">
        <v>200</v>
      </c>
      <c r="G28" s="16" t="n">
        <v>270</v>
      </c>
      <c r="H28" s="16" t="n">
        <v>70</v>
      </c>
      <c r="I28" s="16" t="n">
        <v>0</v>
      </c>
      <c r="J28" s="16" t="n">
        <v>0</v>
      </c>
      <c r="K28" s="16" t="n">
        <v>0</v>
      </c>
      <c r="L28" s="16" t="n">
        <v>0</v>
      </c>
      <c r="M28" s="16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R28" s="16" t="n">
        <v>0</v>
      </c>
      <c r="S28" s="14">
        <f>$C28*E28</f>
        <v/>
      </c>
      <c r="T28" s="14">
        <f>$C28*F28</f>
        <v/>
      </c>
      <c r="U28" s="14">
        <f>$C28*G28</f>
        <v/>
      </c>
      <c r="V28" s="14">
        <f>$C28*H28</f>
        <v/>
      </c>
      <c r="W28" s="14">
        <f>$C28*I28</f>
        <v/>
      </c>
      <c r="X28" s="14">
        <f>$C28*J28</f>
        <v/>
      </c>
      <c r="Y28" s="14">
        <f>$C28*K28</f>
        <v/>
      </c>
      <c r="Z28" s="14">
        <f>$C28*L28</f>
        <v/>
      </c>
      <c r="AA28" s="14">
        <f>$C28*M28</f>
        <v/>
      </c>
      <c r="AB28" s="14">
        <f>$C28*N28</f>
        <v/>
      </c>
      <c r="AC28" s="14">
        <f>$C28*O28</f>
        <v/>
      </c>
      <c r="AD28" s="14">
        <f>$C28*P28</f>
        <v/>
      </c>
      <c r="AE28" s="14">
        <f>$C28*Q28</f>
        <v/>
      </c>
      <c r="AF28" s="14">
        <f>$C28*R28</f>
        <v/>
      </c>
    </row>
    <row r="29">
      <c r="A29" s="6" t="inlineStr">
        <is>
          <t>Tourelles (déjà en inventaire)</t>
        </is>
      </c>
      <c r="B29" s="6" t="inlineStr">
        <is>
          <t>Tourelle Tek</t>
        </is>
      </c>
      <c r="C29" s="15" t="n">
        <v>23</v>
      </c>
      <c r="D29" s="6" t="inlineStr"/>
      <c r="E29" s="16" t="n">
        <v>100</v>
      </c>
      <c r="F29" s="16" t="n">
        <v>50</v>
      </c>
      <c r="G29" s="16" t="n">
        <v>100</v>
      </c>
      <c r="H29" s="16" t="n">
        <v>50</v>
      </c>
      <c r="I29" s="16" t="n">
        <v>0</v>
      </c>
      <c r="J29" s="16" t="n">
        <v>3</v>
      </c>
      <c r="K29" s="16" t="n">
        <v>0</v>
      </c>
      <c r="L29" s="16" t="n">
        <v>0</v>
      </c>
      <c r="M29" s="16" t="n">
        <v>0</v>
      </c>
      <c r="N29" s="16" t="n">
        <v>0</v>
      </c>
      <c r="O29" s="16" t="n">
        <v>0</v>
      </c>
      <c r="P29" s="16" t="n">
        <v>0</v>
      </c>
      <c r="Q29" s="16" t="n">
        <v>0</v>
      </c>
      <c r="R29" s="16" t="n">
        <v>0</v>
      </c>
      <c r="S29" s="14">
        <f>$C29*E29</f>
        <v/>
      </c>
      <c r="T29" s="14">
        <f>$C29*F29</f>
        <v/>
      </c>
      <c r="U29" s="14">
        <f>$C29*G29</f>
        <v/>
      </c>
      <c r="V29" s="14">
        <f>$C29*H29</f>
        <v/>
      </c>
      <c r="W29" s="14">
        <f>$C29*I29</f>
        <v/>
      </c>
      <c r="X29" s="14">
        <f>$C29*J29</f>
        <v/>
      </c>
      <c r="Y29" s="14">
        <f>$C29*K29</f>
        <v/>
      </c>
      <c r="Z29" s="14">
        <f>$C29*L29</f>
        <v/>
      </c>
      <c r="AA29" s="14">
        <f>$C29*M29</f>
        <v/>
      </c>
      <c r="AB29" s="14">
        <f>$C29*N29</f>
        <v/>
      </c>
      <c r="AC29" s="14">
        <f>$C29*O29</f>
        <v/>
      </c>
      <c r="AD29" s="14">
        <f>$C29*P29</f>
        <v/>
      </c>
      <c r="AE29" s="14">
        <f>$C29*Q29</f>
        <v/>
      </c>
      <c r="AF29" s="14">
        <f>$C29*R29</f>
        <v/>
      </c>
    </row>
    <row r="30">
      <c r="A30" s="6" t="inlineStr">
        <is>
          <t>Tourelles (déjà en inventaire)</t>
        </is>
      </c>
      <c r="B30" s="6" t="inlineStr">
        <is>
          <t>Bobine Tesla</t>
        </is>
      </c>
      <c r="C30" s="15" t="n">
        <v>10</v>
      </c>
      <c r="D30" s="6" t="inlineStr"/>
      <c r="E30" s="16" t="n">
        <v>500</v>
      </c>
      <c r="F30" s="16" t="n">
        <v>0</v>
      </c>
      <c r="G30" s="16" t="n">
        <v>100</v>
      </c>
      <c r="H30" s="16" t="n">
        <v>300</v>
      </c>
      <c r="I30" s="16" t="n">
        <v>200</v>
      </c>
      <c r="J30" s="16" t="n">
        <v>0</v>
      </c>
      <c r="K30" s="16" t="n">
        <v>0</v>
      </c>
      <c r="L30" s="16" t="n">
        <v>0</v>
      </c>
      <c r="M30" s="16" t="n">
        <v>0</v>
      </c>
      <c r="N30" s="16" t="n">
        <v>0</v>
      </c>
      <c r="O30" s="16" t="n">
        <v>0</v>
      </c>
      <c r="P30" s="16" t="n">
        <v>0</v>
      </c>
      <c r="Q30" s="16" t="n">
        <v>0</v>
      </c>
      <c r="R30" s="16" t="n">
        <v>0</v>
      </c>
      <c r="S30" s="14">
        <f>$C30*E30</f>
        <v/>
      </c>
      <c r="T30" s="14">
        <f>$C30*F30</f>
        <v/>
      </c>
      <c r="U30" s="14">
        <f>$C30*G30</f>
        <v/>
      </c>
      <c r="V30" s="14">
        <f>$C30*H30</f>
        <v/>
      </c>
      <c r="W30" s="14">
        <f>$C30*I30</f>
        <v/>
      </c>
      <c r="X30" s="14">
        <f>$C30*J30</f>
        <v/>
      </c>
      <c r="Y30" s="14">
        <f>$C30*K30</f>
        <v/>
      </c>
      <c r="Z30" s="14">
        <f>$C30*L30</f>
        <v/>
      </c>
      <c r="AA30" s="14">
        <f>$C30*M30</f>
        <v/>
      </c>
      <c r="AB30" s="14">
        <f>$C30*N30</f>
        <v/>
      </c>
      <c r="AC30" s="14">
        <f>$C30*O30</f>
        <v/>
      </c>
      <c r="AD30" s="14">
        <f>$C30*P30</f>
        <v/>
      </c>
      <c r="AE30" s="14">
        <f>$C30*Q30</f>
        <v/>
      </c>
      <c r="AF30" s="14">
        <f>$C30*R30</f>
        <v/>
      </c>
    </row>
    <row r="31">
      <c r="A31" s="8" t="inlineStr">
        <is>
          <t>Total général (avec tourelles)</t>
        </is>
      </c>
      <c r="B31" s="17" t="n"/>
      <c r="C31" s="8">
        <f>SUM(C5:C30)</f>
        <v/>
      </c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9">
        <f>SUM(S5:S30)</f>
        <v/>
      </c>
      <c r="T31" s="9">
        <f>SUM(T5:T30)</f>
        <v/>
      </c>
      <c r="U31" s="9">
        <f>SUM(U5:U30)</f>
        <v/>
      </c>
      <c r="V31" s="9">
        <f>SUM(V5:V30)</f>
        <v/>
      </c>
      <c r="W31" s="9">
        <f>SUM(W5:W30)</f>
        <v/>
      </c>
      <c r="X31" s="9">
        <f>SUM(X5:X30)</f>
        <v/>
      </c>
      <c r="Y31" s="9">
        <f>SUM(Y5:Y30)</f>
        <v/>
      </c>
      <c r="Z31" s="9">
        <f>SUM(Z5:Z30)</f>
        <v/>
      </c>
      <c r="AA31" s="9">
        <f>SUM(AA5:AA30)</f>
        <v/>
      </c>
      <c r="AB31" s="9">
        <f>SUM(AB5:AB30)</f>
        <v/>
      </c>
      <c r="AC31" s="9">
        <f>SUM(AC5:AC30)</f>
        <v/>
      </c>
      <c r="AD31" s="9">
        <f>SUM(AD5:AD30)</f>
        <v/>
      </c>
      <c r="AE31" s="9">
        <f>SUM(AE5:AE30)</f>
        <v/>
      </c>
      <c r="AF31" s="9">
        <f>SUM(AF5:AF30)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Structure par plan (hors tourelles, carrés de culture et murs de chaume)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Nombre de pièces par plan (bleu) ; coûts unitaires repris de l'onglet Détail (vert). Le plan 2 (colonnade) est une option, hors du total des autres onglets.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Lingots / pièce</t>
        </is>
      </c>
      <c r="B4" s="18">
        <f>INDEX(Détail!$E$5:$E$30,MATCH("Pilier fin métal (Thin Pillar)",Détail!$B$5:$B$30,0))</f>
        <v/>
      </c>
      <c r="C4" s="18">
        <f>INDEX(Détail!$E$5:$E$30,MATCH("Rampe inclinée métal (Sloped Railing)",Détail!$B$5:$B$30,0))</f>
        <v/>
      </c>
      <c r="D4" s="18">
        <f>INDEX(Détail!$E$5:$E$30,MATCH("Cadre de porte double métal",Détail!$B$5:$B$30,0))</f>
        <v/>
      </c>
      <c r="E4" s="18">
        <f>INDEX(Détail!$E$5:$E$30,MATCH("Fondation triangle métal",Détail!$B$5:$B$30,0))</f>
        <v/>
      </c>
      <c r="F4" s="18">
        <f>INDEX(Détail!$E$5:$E$30,MATCH("Plafond triangle métal",Détail!$B$5:$B$30,0))</f>
        <v/>
      </c>
      <c r="G4" s="18">
        <f>INDEX(Détail!$E$5:$E$30,MATCH("Mur métal",Détail!$B$5:$B$30,0))</f>
        <v/>
      </c>
      <c r="H4" s="18">
        <f>INDEX(Détail!$E$5:$E$30,MATCH("Fondation métal",Détail!$B$5:$B$30,0))</f>
        <v/>
      </c>
      <c r="I4" s="18">
        <f>INDEX(Détail!$E$5:$E$30,MATCH("Plafond métal",Détail!$B$5:$B$30,0))</f>
        <v/>
      </c>
      <c r="J4" s="18">
        <f>INDEX(Détail!$E$5:$E$30,MATCH("Pilier métal",Détail!$B$5:$B$30,0))</f>
        <v/>
      </c>
      <c r="K4" s="18">
        <f>INDEX(Détail!$E$5:$E$30,MATCH("Pilier fin couché métal (Flat Thin Pillar)",Détail!$B$5:$B$30,0))</f>
        <v/>
      </c>
      <c r="L4" s="18">
        <f>INDEX(Détail!$E$5:$E$30,MATCH("Demi-pilier fin métal (Half Thin Pillar)",Détail!$B$5:$B$30,0))</f>
        <v/>
      </c>
      <c r="M4" s="18">
        <f>INDEX(Détail!$E$5:$E$30,MATCH("Plafond à trappe métal",Détail!$B$5:$B$30,0))</f>
        <v/>
      </c>
      <c r="N4" s="18">
        <f>INDEX(Détail!$E$5:$E$30,MATCH("Escalier métal",Détail!$B$5:$B$30,0))</f>
        <v/>
      </c>
      <c r="O4" s="2" t="n"/>
      <c r="P4" s="2" t="n"/>
      <c r="Q4" s="2" t="n"/>
    </row>
    <row r="5">
      <c r="A5" s="4" t="inlineStr">
        <is>
          <t>Pâte / pièce</t>
        </is>
      </c>
      <c r="B5" s="18">
        <f>INDEX(Détail!$F$5:$F$30,MATCH("Pilier fin métal (Thin Pillar)",Détail!$B$5:$B$30,0))</f>
        <v/>
      </c>
      <c r="C5" s="18">
        <f>INDEX(Détail!$F$5:$F$30,MATCH("Rampe inclinée métal (Sloped Railing)",Détail!$B$5:$B$30,0))</f>
        <v/>
      </c>
      <c r="D5" s="18">
        <f>INDEX(Détail!$F$5:$F$30,MATCH("Cadre de porte double métal",Détail!$B$5:$B$30,0))</f>
        <v/>
      </c>
      <c r="E5" s="18">
        <f>INDEX(Détail!$F$5:$F$30,MATCH("Fondation triangle métal",Détail!$B$5:$B$30,0))</f>
        <v/>
      </c>
      <c r="F5" s="18">
        <f>INDEX(Détail!$F$5:$F$30,MATCH("Plafond triangle métal",Détail!$B$5:$B$30,0))</f>
        <v/>
      </c>
      <c r="G5" s="18">
        <f>INDEX(Détail!$F$5:$F$30,MATCH("Mur métal",Détail!$B$5:$B$30,0))</f>
        <v/>
      </c>
      <c r="H5" s="18">
        <f>INDEX(Détail!$F$5:$F$30,MATCH("Fondation métal",Détail!$B$5:$B$30,0))</f>
        <v/>
      </c>
      <c r="I5" s="18">
        <f>INDEX(Détail!$F$5:$F$30,MATCH("Plafond métal",Détail!$B$5:$B$30,0))</f>
        <v/>
      </c>
      <c r="J5" s="18">
        <f>INDEX(Détail!$F$5:$F$30,MATCH("Pilier métal",Détail!$B$5:$B$30,0))</f>
        <v/>
      </c>
      <c r="K5" s="18">
        <f>INDEX(Détail!$F$5:$F$30,MATCH("Pilier fin couché métal (Flat Thin Pillar)",Détail!$B$5:$B$30,0))</f>
        <v/>
      </c>
      <c r="L5" s="18">
        <f>INDEX(Détail!$F$5:$F$30,MATCH("Demi-pilier fin métal (Half Thin Pillar)",Détail!$B$5:$B$30,0))</f>
        <v/>
      </c>
      <c r="M5" s="18">
        <f>INDEX(Détail!$F$5:$F$30,MATCH("Plafond à trappe métal",Détail!$B$5:$B$30,0))</f>
        <v/>
      </c>
      <c r="N5" s="18">
        <f>INDEX(Détail!$F$5:$F$30,MATCH("Escalier métal",Détail!$B$5:$B$30,0))</f>
        <v/>
      </c>
      <c r="O5" s="2" t="n"/>
      <c r="P5" s="2" t="n"/>
      <c r="Q5" s="2" t="n"/>
    </row>
    <row r="6" ht="54" customHeight="1">
      <c r="A6" s="19" t="inlineStr">
        <is>
          <t>Plan</t>
        </is>
      </c>
      <c r="B6" s="11" t="inlineStr">
        <is>
          <t>Pilier fin métal (Thin Pillar)</t>
        </is>
      </c>
      <c r="C6" s="11" t="inlineStr">
        <is>
          <t>Rampe inclinée métal (Sloped Railing)</t>
        </is>
      </c>
      <c r="D6" s="11" t="inlineStr">
        <is>
          <t>Cadre de porte double métal</t>
        </is>
      </c>
      <c r="E6" s="11" t="inlineStr">
        <is>
          <t>Fondation triangle métal</t>
        </is>
      </c>
      <c r="F6" s="11" t="inlineStr">
        <is>
          <t>Plafond triangle métal</t>
        </is>
      </c>
      <c r="G6" s="11" t="inlineStr">
        <is>
          <t>Mur métal</t>
        </is>
      </c>
      <c r="H6" s="11" t="inlineStr">
        <is>
          <t>Fondation métal</t>
        </is>
      </c>
      <c r="I6" s="11" t="inlineStr">
        <is>
          <t>Plafond métal</t>
        </is>
      </c>
      <c r="J6" s="11" t="inlineStr">
        <is>
          <t>Pilier métal</t>
        </is>
      </c>
      <c r="K6" s="11" t="inlineStr">
        <is>
          <t>Pilier fin couché métal (Flat Thin Pillar)</t>
        </is>
      </c>
      <c r="L6" s="11" t="inlineStr">
        <is>
          <t>Demi-pilier fin métal (Half Thin Pillar)</t>
        </is>
      </c>
      <c r="M6" s="11" t="inlineStr">
        <is>
          <t>Plafond à trappe métal</t>
        </is>
      </c>
      <c r="N6" s="11" t="inlineStr">
        <is>
          <t>Escalier métal</t>
        </is>
      </c>
      <c r="O6" s="5" t="inlineStr">
        <is>
          <t>Pièces</t>
        </is>
      </c>
      <c r="P6" s="5" t="inlineStr">
        <is>
          <t>Lingots</t>
        </is>
      </c>
      <c r="Q6" s="5" t="inlineStr">
        <is>
          <t>Pâte</t>
        </is>
      </c>
    </row>
    <row r="7">
      <c r="A7" s="12" t="inlineStr">
        <is>
          <t>Plan 01 sol complet</t>
        </is>
      </c>
      <c r="B7" s="16" t="n">
        <v>0</v>
      </c>
      <c r="C7" s="16" t="n">
        <v>0</v>
      </c>
      <c r="D7" s="16" t="n">
        <v>0</v>
      </c>
      <c r="E7" s="16" t="n">
        <v>684</v>
      </c>
      <c r="F7" s="16" t="n">
        <v>0</v>
      </c>
      <c r="G7" s="16" t="n">
        <v>0</v>
      </c>
      <c r="H7" s="16" t="n">
        <v>344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20">
        <f>SUM(B7:N7)</f>
        <v/>
      </c>
      <c r="P7" s="20">
        <f>SUMPRODUCT(B7:N7,B$4:N$4)</f>
        <v/>
      </c>
      <c r="Q7" s="20">
        <f>SUMPRODUCT(B7:N7,B$5:N$5)</f>
        <v/>
      </c>
    </row>
    <row r="8">
      <c r="A8" s="12" t="inlineStr">
        <is>
          <t>Plan 02 colonnade option</t>
        </is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226</v>
      </c>
      <c r="K8" s="16" t="n">
        <v>0</v>
      </c>
      <c r="L8" s="16" t="n">
        <v>0</v>
      </c>
      <c r="M8" s="16" t="n">
        <v>0</v>
      </c>
      <c r="N8" s="16" t="n">
        <v>0</v>
      </c>
      <c r="O8" s="20">
        <f>SUM(B8:N8)</f>
        <v/>
      </c>
      <c r="P8" s="20">
        <f>SUMPRODUCT(B8:N8,B$4:N$4)</f>
        <v/>
      </c>
      <c r="Q8" s="20">
        <f>SUMPRODUCT(B8:N8,B$5:N$5)</f>
        <v/>
      </c>
    </row>
    <row r="9">
      <c r="A9" s="12" t="inlineStr">
        <is>
          <t>Plan 03 bord D8-D7</t>
        </is>
      </c>
      <c r="B9" s="16" t="n">
        <v>123</v>
      </c>
      <c r="C9" s="16" t="n">
        <v>356</v>
      </c>
      <c r="D9" s="16" t="n">
        <v>298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94</v>
      </c>
      <c r="L9" s="16" t="n">
        <v>43</v>
      </c>
      <c r="M9" s="16" t="n">
        <v>0</v>
      </c>
      <c r="N9" s="16" t="n">
        <v>0</v>
      </c>
      <c r="O9" s="20">
        <f>SUM(B9:N9)</f>
        <v/>
      </c>
      <c r="P9" s="20">
        <f>SUMPRODUCT(B9:N9,B$4:N$4)</f>
        <v/>
      </c>
      <c r="Q9" s="20">
        <f>SUMPRODUCT(B9:N9,B$5:N$5)</f>
        <v/>
      </c>
    </row>
    <row r="10">
      <c r="A10" s="12" t="inlineStr">
        <is>
          <t>Plan 04 D7-D5 pente A</t>
        </is>
      </c>
      <c r="B10" s="16" t="n">
        <v>563</v>
      </c>
      <c r="C10" s="16" t="n">
        <v>208</v>
      </c>
      <c r="D10" s="16" t="n">
        <v>32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  <c r="N10" s="16" t="n">
        <v>0</v>
      </c>
      <c r="O10" s="20">
        <f>SUM(B10:N10)</f>
        <v/>
      </c>
      <c r="P10" s="20">
        <f>SUMPRODUCT(B10:N10,B$4:N$4)</f>
        <v/>
      </c>
      <c r="Q10" s="20">
        <f>SUMPRODUCT(B10:N10,B$5:N$5)</f>
        <v/>
      </c>
    </row>
    <row r="11">
      <c r="A11" s="12" t="inlineStr">
        <is>
          <t>Plan 05 tour du pod D4</t>
        </is>
      </c>
      <c r="B11" s="16" t="n">
        <v>0</v>
      </c>
      <c r="C11" s="16" t="n">
        <v>0</v>
      </c>
      <c r="D11" s="16" t="n">
        <v>17</v>
      </c>
      <c r="E11" s="16" t="n">
        <v>0</v>
      </c>
      <c r="F11" s="16" t="n">
        <v>170</v>
      </c>
      <c r="G11" s="16" t="n">
        <v>437</v>
      </c>
      <c r="H11" s="16" t="n">
        <v>0</v>
      </c>
      <c r="I11" s="16" t="n">
        <v>85</v>
      </c>
      <c r="J11" s="16" t="n">
        <v>216</v>
      </c>
      <c r="K11" s="16" t="n">
        <v>0</v>
      </c>
      <c r="L11" s="16" t="n">
        <v>0</v>
      </c>
      <c r="M11" s="16" t="n">
        <v>0</v>
      </c>
      <c r="N11" s="16" t="n">
        <v>6</v>
      </c>
      <c r="O11" s="20">
        <f>SUM(B11:N11)</f>
        <v/>
      </c>
      <c r="P11" s="20">
        <f>SUMPRODUCT(B11:N11,B$4:N$4)</f>
        <v/>
      </c>
      <c r="Q11" s="20">
        <f>SUMPRODUCT(B11:N11,B$5:N$5)</f>
        <v/>
      </c>
    </row>
    <row r="12">
      <c r="A12" s="12" t="inlineStr">
        <is>
          <t>Plan 06 D5-D4 cage et appentis</t>
        </is>
      </c>
      <c r="B12" s="16" t="n">
        <v>53</v>
      </c>
      <c r="C12" s="16" t="n">
        <v>110</v>
      </c>
      <c r="D12" s="16" t="n">
        <v>427</v>
      </c>
      <c r="E12" s="16" t="n">
        <v>0</v>
      </c>
      <c r="F12" s="16" t="n">
        <v>285</v>
      </c>
      <c r="G12" s="16" t="n">
        <v>0</v>
      </c>
      <c r="H12" s="16" t="n">
        <v>0</v>
      </c>
      <c r="I12" s="16" t="n">
        <v>136</v>
      </c>
      <c r="J12" s="16" t="n">
        <v>0</v>
      </c>
      <c r="K12" s="16" t="n">
        <v>0</v>
      </c>
      <c r="L12" s="16" t="n">
        <v>0</v>
      </c>
      <c r="M12" s="16" t="n">
        <v>5</v>
      </c>
      <c r="N12" s="16" t="n">
        <v>0</v>
      </c>
      <c r="O12" s="20">
        <f>SUM(B12:N12)</f>
        <v/>
      </c>
      <c r="P12" s="20">
        <f>SUMPRODUCT(B12:N12,B$4:N$4)</f>
        <v/>
      </c>
      <c r="Q12" s="20">
        <f>SUMPRODUCT(B12:N12,B$5:N$5)</f>
        <v/>
      </c>
    </row>
    <row r="13">
      <c r="A13" s="12" t="inlineStr">
        <is>
          <t>Plan 07 tourelles D8-D4</t>
        </is>
      </c>
      <c r="B13" s="16" t="n">
        <v>0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20">
        <f>SUM(B13:N13)</f>
        <v/>
      </c>
      <c r="P13" s="20">
        <f>SUMPRODUCT(B13:N13,B$4:N$4)</f>
        <v/>
      </c>
      <c r="Q13" s="20">
        <f>SUMPRODUCT(B13:N13,B$5:N$5)</f>
        <v/>
      </c>
    </row>
    <row r="14">
      <c r="A14" s="12" t="inlineStr">
        <is>
          <t>Plan 08 tourelles perimetre pod</t>
        </is>
      </c>
      <c r="B14" s="16" t="n">
        <v>0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20">
        <f>SUM(B14:N14)</f>
        <v/>
      </c>
      <c r="P14" s="20">
        <f>SUMPRODUCT(B14:N14,B$4:N$4)</f>
        <v/>
      </c>
      <c r="Q14" s="20">
        <f>SUMPRODUCT(B14:N14,B$5:N$5)</f>
        <v/>
      </c>
    </row>
    <row r="15">
      <c r="A15" s="12" t="inlineStr">
        <is>
          <t>Plan 09 toiture pleine D4-centre</t>
        </is>
      </c>
      <c r="B15" s="16" t="n">
        <v>0</v>
      </c>
      <c r="C15" s="16" t="n">
        <v>0</v>
      </c>
      <c r="D15" s="16" t="n">
        <v>0</v>
      </c>
      <c r="E15" s="16" t="n">
        <v>0</v>
      </c>
      <c r="F15" s="16" t="n">
        <v>174</v>
      </c>
      <c r="G15" s="16" t="n">
        <v>50</v>
      </c>
      <c r="H15" s="16" t="n">
        <v>0</v>
      </c>
      <c r="I15" s="16" t="n">
        <v>86</v>
      </c>
      <c r="J15" s="16" t="n">
        <v>24</v>
      </c>
      <c r="K15" s="16" t="n">
        <v>0</v>
      </c>
      <c r="L15" s="16" t="n">
        <v>0</v>
      </c>
      <c r="M15" s="16" t="n">
        <v>1</v>
      </c>
      <c r="N15" s="16" t="n">
        <v>0</v>
      </c>
      <c r="O15" s="20">
        <f>SUM(B15:N15)</f>
        <v/>
      </c>
      <c r="P15" s="20">
        <f>SUMPRODUCT(B15:N15,B$4:N$4)</f>
        <v/>
      </c>
      <c r="Q15" s="20">
        <f>SUMPRODUCT(B15:N15,B$5:N$5)</f>
        <v/>
      </c>
    </row>
    <row r="16">
      <c r="A16" s="12" t="inlineStr">
        <is>
          <t>Plan 10 toit en rampes D4-centre</t>
        </is>
      </c>
      <c r="B16" s="16" t="n">
        <v>288</v>
      </c>
      <c r="C16" s="16" t="n">
        <v>178</v>
      </c>
      <c r="D16" s="16" t="n">
        <v>0</v>
      </c>
      <c r="E16" s="16" t="n">
        <v>0</v>
      </c>
      <c r="F16" s="16" t="n">
        <v>0</v>
      </c>
      <c r="G16" s="16" t="n">
        <v>1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16" t="n">
        <v>0</v>
      </c>
      <c r="O16" s="20">
        <f>SUM(B16:N16)</f>
        <v/>
      </c>
      <c r="P16" s="20">
        <f>SUMPRODUCT(B16:N16,B$4:N$4)</f>
        <v/>
      </c>
      <c r="Q16" s="20">
        <f>SUMPRODUCT(B16:N16,B$5:N$5)</f>
        <v/>
      </c>
    </row>
    <row r="17">
      <c r="A17" s="12" t="inlineStr">
        <is>
          <t>Plan 11 tourelles dessus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  <c r="G17" s="16" t="n">
        <v>1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16" t="n">
        <v>0</v>
      </c>
      <c r="O17" s="20">
        <f>SUM(B17:N17)</f>
        <v/>
      </c>
      <c r="P17" s="20">
        <f>SUMPRODUCT(B17:N17,B$4:N$4)</f>
        <v/>
      </c>
      <c r="Q17" s="20">
        <f>SUMPRODUCT(B17:N17,B$5:N$5)</f>
        <v/>
      </c>
    </row>
    <row r="18">
      <c r="A18" s="4" t="inlineStr">
        <is>
          <t>Total</t>
        </is>
      </c>
      <c r="B18" s="21">
        <f>SUM(B7:B17)</f>
        <v/>
      </c>
      <c r="C18" s="21">
        <f>SUM(C7:C17)</f>
        <v/>
      </c>
      <c r="D18" s="21">
        <f>SUM(D7:D17)</f>
        <v/>
      </c>
      <c r="E18" s="21">
        <f>SUM(E7:E17)</f>
        <v/>
      </c>
      <c r="F18" s="21">
        <f>SUM(F7:F17)</f>
        <v/>
      </c>
      <c r="G18" s="21">
        <f>SUM(G7:G17)</f>
        <v/>
      </c>
      <c r="H18" s="21">
        <f>SUM(H7:H17)</f>
        <v/>
      </c>
      <c r="I18" s="21">
        <f>SUM(I7:I17)</f>
        <v/>
      </c>
      <c r="J18" s="21">
        <f>SUM(J7:J17)</f>
        <v/>
      </c>
      <c r="K18" s="21">
        <f>SUM(K7:K17)</f>
        <v/>
      </c>
      <c r="L18" s="21">
        <f>SUM(L7:L17)</f>
        <v/>
      </c>
      <c r="M18" s="21">
        <f>SUM(M7:M17)</f>
        <v/>
      </c>
      <c r="N18" s="21">
        <f>SUM(N7:N17)</f>
        <v/>
      </c>
      <c r="O18" s="21">
        <f>SUM(O7:O17)</f>
        <v/>
      </c>
      <c r="P18" s="21">
        <f>SUM(P7:P17)</f>
        <v/>
      </c>
      <c r="Q18" s="21">
        <f>SUM(Q7:Q17)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Murs de chaume (dans les plans de zone), tourelles et carrés de culture (plans 7, 8 et 11) : onglet Détail.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2026-10-26T11:44:03Z</dcterms:created>
  <dcterms:modified xmlns:dcterms="http://purl.org/dc/terms/" xmlns:xsi="http://www.w3.org/2001/XMLSchema-instance" xsi:type="dcterms:W3CDTF">2026-10-26T11:44:03Z</dcterms:modified>
</cp:coreProperties>
</file>