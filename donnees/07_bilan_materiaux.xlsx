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ynthèse" sheetId="1" state="visible" r:id="rId3"/>
    <sheet name="Coût par plan" sheetId="2" state="visible" r:id="rId4"/>
    <sheet name="Détail" sheetId="3" state="visible" r:id="rId5"/>
    <sheet name="Par pla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<sst xmlns="http://schemas.openxmlformats.org/spreadsheetml/2006/main" count="739" uniqueCount="173">
  <si>
    <t xml:space="preserve">Forteresse Ø30 — bilan matériaux</t>
  </si>
  <si>
    <t xml:space="preserve">Calculé depuis l'onglet Détail. Les tourelles (49 Heavy, 26 Tek, 10 Tesla) sont déjà en inventaire ; les 15 graines de Plant Species X se plantent à la main. Ne fabriquez que la ligne « À fabriquer ».</t>
  </si>
  <si>
    <t xml:space="preserve">Nombre de structures</t>
  </si>
  <si>
    <t xml:space="preserve">Poste</t>
  </si>
  <si>
    <t xml:space="preserve">Structures</t>
  </si>
  <si>
    <t xml:space="preserve">Devenir</t>
  </si>
  <si>
    <t xml:space="preserve">Structure des plans (sans la colonnade)</t>
  </si>
  <si>
    <t xml:space="preserve">définitives</t>
  </si>
  <si>
    <t xml:space="preserve">Carrés de culture (Plant X)</t>
  </si>
  <si>
    <t xml:space="preserve">définitifs (Plant X à planter)</t>
  </si>
  <si>
    <t xml:space="preserve">Ancres temporaires (démolies)</t>
  </si>
  <si>
    <t xml:space="preserve">démolies à la fin</t>
  </si>
  <si>
    <t xml:space="preserve">Murs de pics</t>
  </si>
  <si>
    <t xml:space="preserve">définitifs, posés à la main</t>
  </si>
  <si>
    <t xml:space="preserve">Murs de chaume (démolis)</t>
  </si>
  <si>
    <t xml:space="preserve">démolis après la pose des tourelles</t>
  </si>
  <si>
    <t xml:space="preserve">Équipements</t>
  </si>
  <si>
    <t xml:space="preserve">définitifs, hors plans</t>
  </si>
  <si>
    <t xml:space="preserve">Tourelles (déjà en inventaire)</t>
  </si>
  <si>
    <t xml:space="preserve">définitives, déjà en inventaire</t>
  </si>
  <si>
    <t xml:space="preserve">Total à poser</t>
  </si>
  <si>
    <t xml:space="preserve">Matériaux par poste</t>
  </si>
  <si>
    <t xml:space="preserve">Lingots de métal</t>
  </si>
  <si>
    <t xml:space="preserve">Pâte cimentée</t>
  </si>
  <si>
    <t xml:space="preserve">Électroniques</t>
  </si>
  <si>
    <t xml:space="preserve">Polymère</t>
  </si>
  <si>
    <t xml:space="preserve">Cristal</t>
  </si>
  <si>
    <t xml:space="preserve">Élément</t>
  </si>
  <si>
    <t xml:space="preserve">Perles noires</t>
  </si>
  <si>
    <t xml:space="preserve">Huile</t>
  </si>
  <si>
    <t xml:space="preserve">Poudre étincelante</t>
  </si>
  <si>
    <t xml:space="preserve">Cuir</t>
  </si>
  <si>
    <t xml:space="preserve">Fibre</t>
  </si>
  <si>
    <t xml:space="preserve">Chaume</t>
  </si>
  <si>
    <t xml:space="preserve">Bois</t>
  </si>
  <si>
    <t xml:space="preserve">Pierre</t>
  </si>
  <si>
    <t xml:space="preserve">À fabriquer (hors tourelles)</t>
  </si>
  <si>
    <t xml:space="preserve">Total avec les tourelles</t>
  </si>
  <si>
    <t xml:space="preserve">Équivalent en ressources brutes</t>
  </si>
  <si>
    <t xml:space="preserve">Recette (hypothèse, à vérifier sur votre serveur)</t>
  </si>
  <si>
    <t xml:space="preserve">Minerai par lingot</t>
  </si>
  <si>
    <t xml:space="preserve">Perles de silice par électronique</t>
  </si>
  <si>
    <t xml:space="preserve">Lingot par électronique</t>
  </si>
  <si>
    <t xml:space="preserve">Obsidienne par polymère</t>
  </si>
  <si>
    <t xml:space="preserve">Pâte par polymère</t>
  </si>
  <si>
    <t xml:space="preserve">Chitine/kératine par pâte</t>
  </si>
  <si>
    <t xml:space="preserve">Pierre par pâte</t>
  </si>
  <si>
    <t xml:space="preserve">Silex par poudre étincelante</t>
  </si>
  <si>
    <t xml:space="preserve">Pierre par poudre étincelante</t>
  </si>
  <si>
    <t xml:space="preserve">Ressource brute</t>
  </si>
  <si>
    <t xml:space="preserve">Hors tourelles</t>
  </si>
  <si>
    <t xml:space="preserve">Avec les tourelles</t>
  </si>
  <si>
    <t xml:space="preserve">Lingots de métal au total (électroniques comprises)</t>
  </si>
  <si>
    <t xml:space="preserve">Minerai de métal</t>
  </si>
  <si>
    <t xml:space="preserve">Pâte cimentée au total (polymère compris)</t>
  </si>
  <si>
    <t xml:space="preserve">Chitine ou kératine</t>
  </si>
  <si>
    <t xml:space="preserve">Obsidienne</t>
  </si>
  <si>
    <t xml:space="preserve">Perles de silice</t>
  </si>
  <si>
    <t xml:space="preserve">Silex</t>
  </si>
  <si>
    <t xml:space="preserve">Option colonnade (plan 2  224 piliers) : +5 600 lingots et +1 568 pâte  non comptés ici.</t>
  </si>
  <si>
    <t xml:space="preserve">Option rehausse du pod  par niveau (76 pièces) : +1 900 lingots et +532 pâte.</t>
  </si>
  <si>
    <t xml:space="preserve">Étoile centrale déjà construite : retirez 87 fondations et 174 triangles (−8 700 lingots, −2 697 pâte) dans l'onglet Détail.</t>
  </si>
  <si>
    <t xml:space="preserve">Source des quantités : outils/forteresse.py → donnees/synthese.json (bilan_complet). Limites moteur : module 09.</t>
  </si>
  <si>
    <t xml:space="preserve">Coût et nombre de structures, plan par plan</t>
  </si>
  <si>
    <t xml:space="preserve">Nombre de pièces (bleu) et coût unitaire repris de l'onglet Détail (vert) : modifiez l'onglet Détail, tout se recalcule. Tourelles = déjà en inventaire : la ligne « à fabriquer » les exclut. Récapitulatif en bas.</t>
  </si>
  <si>
    <t xml:space="preserve">Plan 01 sol complet</t>
  </si>
  <si>
    <t xml:space="preserve">1030 entrées dans le template</t>
  </si>
  <si>
    <t xml:space="preserve">Pièce</t>
  </si>
  <si>
    <t xml:space="preserve">Nombre</t>
  </si>
  <si>
    <t xml:space="preserve">Lingots de métal / u</t>
  </si>
  <si>
    <t xml:space="preserve">Pâte cimentée / u</t>
  </si>
  <si>
    <t xml:space="preserve">Électroniques / u</t>
  </si>
  <si>
    <t xml:space="preserve">Polymère / u</t>
  </si>
  <si>
    <t xml:space="preserve">Cristal / u</t>
  </si>
  <si>
    <t xml:space="preserve">Élément / u</t>
  </si>
  <si>
    <t xml:space="preserve">Perles noires / u</t>
  </si>
  <si>
    <t xml:space="preserve">Huile / u</t>
  </si>
  <si>
    <t xml:space="preserve">Poudre étincelante / u</t>
  </si>
  <si>
    <t xml:space="preserve">Cuir / u</t>
  </si>
  <si>
    <t xml:space="preserve">Fibre / u</t>
  </si>
  <si>
    <t xml:space="preserve">Chaume / u</t>
  </si>
  <si>
    <t xml:space="preserve">Bois / u</t>
  </si>
  <si>
    <t xml:space="preserve">Pierre / u</t>
  </si>
  <si>
    <t xml:space="preserve">Lingots de métal total</t>
  </si>
  <si>
    <t xml:space="preserve">Pâte cimentée total</t>
  </si>
  <si>
    <t xml:space="preserve">Électroniques total</t>
  </si>
  <si>
    <t xml:space="preserve">Polymère total</t>
  </si>
  <si>
    <t xml:space="preserve">Cristal total</t>
  </si>
  <si>
    <t xml:space="preserve">Élément total</t>
  </si>
  <si>
    <t xml:space="preserve">Perles noires total</t>
  </si>
  <si>
    <t xml:space="preserve">Huile total</t>
  </si>
  <si>
    <t xml:space="preserve">Poudre étincelante total</t>
  </si>
  <si>
    <t xml:space="preserve">Cuir total</t>
  </si>
  <si>
    <t xml:space="preserve">Fibre total</t>
  </si>
  <si>
    <t xml:space="preserve">Chaume total</t>
  </si>
  <si>
    <t xml:space="preserve">Bois total</t>
  </si>
  <si>
    <t xml:space="preserve">Pierre total</t>
  </si>
  <si>
    <t xml:space="preserve">Fondation triangle métal</t>
  </si>
  <si>
    <t xml:space="preserve">Fondation métal</t>
  </si>
  <si>
    <t xml:space="preserve">Total</t>
  </si>
  <si>
    <t xml:space="preserve">Plan 02 colonnade option</t>
  </si>
  <si>
    <t xml:space="preserve">225 entrées dans le template</t>
  </si>
  <si>
    <t xml:space="preserve">Pilier métal</t>
  </si>
  <si>
    <t xml:space="preserve">Plan 03 bord D8-D7</t>
  </si>
  <si>
    <t xml:space="preserve">232 entrées dans le template</t>
  </si>
  <si>
    <t xml:space="preserve">Cadre de porte double métal</t>
  </si>
  <si>
    <t xml:space="preserve">Mur de chaume (gabarit de pose, à démolir)</t>
  </si>
  <si>
    <t xml:space="preserve">Plan 04 D7-D5 pente A</t>
  </si>
  <si>
    <t xml:space="preserve">635 entrées dans le template</t>
  </si>
  <si>
    <t xml:space="preserve">Rampe inclinée métal (Sloped Railing)</t>
  </si>
  <si>
    <t xml:space="preserve">Pilier fin métal (Thin Pillar)</t>
  </si>
  <si>
    <t xml:space="preserve">Plan 05 tour du pod D4</t>
  </si>
  <si>
    <t xml:space="preserve">982 entrées dans le template</t>
  </si>
  <si>
    <t xml:space="preserve">Mur métal</t>
  </si>
  <si>
    <t xml:space="preserve">Plafond triangle métal</t>
  </si>
  <si>
    <t xml:space="preserve">Plafond métal</t>
  </si>
  <si>
    <t xml:space="preserve">Escalier métal</t>
  </si>
  <si>
    <t xml:space="preserve">Plan 06 D5-D4 cage et appentis</t>
  </si>
  <si>
    <t xml:space="preserve">1201 entrées dans le template</t>
  </si>
  <si>
    <t xml:space="preserve">Plafond à trappe métal</t>
  </si>
  <si>
    <t xml:space="preserve">Plan 07 tourelles D8-D4</t>
  </si>
  <si>
    <t xml:space="preserve">71 entrées dans le template</t>
  </si>
  <si>
    <t xml:space="preserve">Tourelle lourde (Heavy) (inventaire)</t>
  </si>
  <si>
    <t xml:space="preserve">Tourelle Tek (inventaire)</t>
  </si>
  <si>
    <t xml:space="preserve">Bobine Tesla (inventaire)</t>
  </si>
  <si>
    <t xml:space="preserve">Grand carré de culture (Plant Species X)</t>
  </si>
  <si>
    <t xml:space="preserve">Plan 08 tourelles perimetre pod</t>
  </si>
  <si>
    <t xml:space="preserve">21 entrées dans le template</t>
  </si>
  <si>
    <t xml:space="preserve">Carré de culture moyen (Plant Species X)</t>
  </si>
  <si>
    <t xml:space="preserve">Plan 09 toiture pleine D4-centre</t>
  </si>
  <si>
    <t xml:space="preserve">335 entrées dans le template</t>
  </si>
  <si>
    <t xml:space="preserve">Plan 10 toit en rampes D4-centre</t>
  </si>
  <si>
    <t xml:space="preserve">261 entrées dans le template</t>
  </si>
  <si>
    <t xml:space="preserve">Plan 11 tourelles dessus</t>
  </si>
  <si>
    <t xml:space="preserve">11 entrées dans le template</t>
  </si>
  <si>
    <t xml:space="preserve">Option rehausse pod +1 niveau (par niveau)</t>
  </si>
  <si>
    <t xml:space="preserve">76 entrées dans le template</t>
  </si>
  <si>
    <t xml:space="preserve">Hors plans : pics, équipements, ancres temporaires</t>
  </si>
  <si>
    <t xml:space="preserve">Mur de pics métal</t>
  </si>
  <si>
    <t xml:space="preserve">Stockage dédié Tek (Tek Dedicated Storage)</t>
  </si>
  <si>
    <t xml:space="preserve">Coffre-fort (Vault)</t>
  </si>
  <si>
    <t xml:space="preserve">Demi-pilier métal (ancre)</t>
  </si>
  <si>
    <t xml:space="preserve">Générateur Tek</t>
  </si>
  <si>
    <t xml:space="preserve">Boîte de munitions (Ammo Box)</t>
  </si>
  <si>
    <t xml:space="preserve">Réplicateur Tek</t>
  </si>
  <si>
    <t xml:space="preserve">Forge à vapeur (Steam Forge)</t>
  </si>
  <si>
    <t xml:space="preserve">Labo de fortune (Makeshift Megalab)</t>
  </si>
  <si>
    <t xml:space="preserve">Récapitulatif : tous les plans</t>
  </si>
  <si>
    <t xml:space="preserve">Plan</t>
  </si>
  <si>
    <t xml:space="preserve">Entrées template</t>
  </si>
  <si>
    <t xml:space="preserve">dont tourelles (inventaire)</t>
  </si>
  <si>
    <t xml:space="preserve">Lingots à fabriquer</t>
  </si>
  <si>
    <t xml:space="preserve">Pâte à fabriquer</t>
  </si>
  <si>
    <t xml:space="preserve">Total des plans (sans les options)</t>
  </si>
  <si>
    <t xml:space="preserve">Total de la base (plans + hors plans)</t>
  </si>
  <si>
    <t xml:space="preserve">Total avec la colonnade et 1 rehausse</t>
  </si>
  <si>
    <t xml:space="preserve">Structures : pièces posées, ancres comprises dans « hors plans », murs de chaume compris dans les plans (démolis ensuite). Les Plant X comptent dans le cap de 100 mais leur carré de culture est la seule structure posée.</t>
  </si>
  <si>
    <t xml:space="preserve">Bilan matériaux — détail par pièce</t>
  </si>
  <si>
    <t xml:space="preserve">Bleu = donnée saisie (nombre de pièces, coût unitaire) : modifiez-la, tout se recalcule. Noir = formule. Coûts unitaires : module 07 §6 et README §9 ; « oui » en colonne Estimation = coût non trouvé dans les sources.</t>
  </si>
  <si>
    <t xml:space="preserve">Estimation</t>
  </si>
  <si>
    <t xml:space="preserve">oui</t>
  </si>
  <si>
    <t xml:space="preserve">Tourelle lourde (Heavy)</t>
  </si>
  <si>
    <t xml:space="preserve">Tourelle Tek</t>
  </si>
  <si>
    <t xml:space="preserve">Bobine Tesla</t>
  </si>
  <si>
    <t xml:space="preserve">Total général (avec tourelles)</t>
  </si>
  <si>
    <t xml:space="preserve">Structure par plan (hors tourelles, carrés de culture et murs de chaume)</t>
  </si>
  <si>
    <t xml:space="preserve">Nombre de pièces par plan (bleu) ; coûts unitaires repris de l'onglet Détail (vert). Le plan 2 (colonnade) est une option, hors du total des autres onglets.</t>
  </si>
  <si>
    <t xml:space="preserve">Lingots / pièce</t>
  </si>
  <si>
    <t xml:space="preserve">Pâte / pièce</t>
  </si>
  <si>
    <t xml:space="preserve">Pièces</t>
  </si>
  <si>
    <t xml:space="preserve">Lingots</t>
  </si>
  <si>
    <t xml:space="preserve">Pâte</t>
  </si>
  <si>
    <t xml:space="preserve">Murs de chaume (dans les plans de zone), tourelles et carrés de culture (plans 7, 8 et 11) : onglet Détail.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</si>
</sst>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#,##0&quot; restent en place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4EE"/>
        <bgColor rgb="FFF2F2F2"/>
      </patternFill>
    </fill>
    <fill>
      <patternFill patternType="solid">
        <fgColor rgb="FFF2F2F2"/>
        <bgColor rgb="FFDDE4E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15" min="4" style="0" width="13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" hidden="false" customHeight="false" outlineLevel="0" collapsed="false">
      <c r="A6" s="6" t="s">
        <v>6</v>
      </c>
      <c r="B6" s="7" t="n">
        <f aca="false">SUMIFS(Détail!$C$5:$C$30,Détail!$A$5:$A$30,A6)</f>
        <v>4592</v>
      </c>
      <c r="C6" s="6" t="s">
        <v>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customFormat="false" ht="15" hidden="false" customHeight="false" outlineLevel="0" collapsed="false">
      <c r="A7" s="6" t="s">
        <v>8</v>
      </c>
      <c r="B7" s="7" t="n">
        <f aca="false">SUMIFS(Détail!$C$5:$C$30,Détail!$A$5:$A$30,A7)</f>
        <v>15</v>
      </c>
      <c r="C7" s="6" t="s">
        <v>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customFormat="false" ht="15" hidden="false" customHeight="false" outlineLevel="0" collapsed="false">
      <c r="A8" s="6" t="s">
        <v>10</v>
      </c>
      <c r="B8" s="7" t="n">
        <f aca="false">SUMIFS(Détail!$C$5:$C$30,Détail!$A$5:$A$30,A8)</f>
        <v>8</v>
      </c>
      <c r="C8" s="6" t="s">
        <v>11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5" hidden="false" customHeight="false" outlineLevel="0" collapsed="false">
      <c r="A9" s="6" t="s">
        <v>12</v>
      </c>
      <c r="B9" s="7" t="n">
        <f aca="false">SUMIFS(Détail!$C$5:$C$30,Détail!$A$5:$A$30,A9)</f>
        <v>74</v>
      </c>
      <c r="C9" s="6" t="s">
        <v>13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5" hidden="false" customHeight="false" outlineLevel="0" collapsed="false">
      <c r="A10" s="6" t="s">
        <v>14</v>
      </c>
      <c r="B10" s="7" t="n">
        <f aca="false">SUMIFS(Détail!$C$5:$C$30,Détail!$A$5:$A$30,A10)</f>
        <v>79</v>
      </c>
      <c r="C10" s="6" t="s">
        <v>15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" hidden="false" customHeight="false" outlineLevel="0" collapsed="false">
      <c r="A11" s="6" t="s">
        <v>16</v>
      </c>
      <c r="B11" s="7" t="n">
        <f aca="false">SUMIFS(Détail!$C$5:$C$30,Détail!$A$5:$A$30,A11)</f>
        <v>47</v>
      </c>
      <c r="C11" s="6" t="s">
        <v>17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" hidden="false" customHeight="false" outlineLevel="0" collapsed="false">
      <c r="A12" s="6" t="s">
        <v>18</v>
      </c>
      <c r="B12" s="7" t="n">
        <f aca="false">SUMIFS(Détail!$C$5:$C$30,Détail!$A$5:$A$30,A12)</f>
        <v>85</v>
      </c>
      <c r="C12" s="6" t="s">
        <v>19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" hidden="false" customHeight="false" outlineLevel="0" collapsed="false">
      <c r="A13" s="8" t="s">
        <v>20</v>
      </c>
      <c r="B13" s="9" t="n">
        <f aca="false">SUM(B6:B12)</f>
        <v>4900</v>
      </c>
      <c r="C13" s="10" t="n">
        <f aca="false">B13-B8-B10</f>
        <v>4813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4" t="s">
        <v>21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30" hidden="false" customHeight="true" outlineLevel="0" collapsed="false">
      <c r="A16" s="11" t="s">
        <v>3</v>
      </c>
      <c r="B16" s="11" t="s">
        <v>22</v>
      </c>
      <c r="C16" s="11" t="s">
        <v>23</v>
      </c>
      <c r="D16" s="11" t="s">
        <v>24</v>
      </c>
      <c r="E16" s="11" t="s">
        <v>25</v>
      </c>
      <c r="F16" s="11" t="s">
        <v>26</v>
      </c>
      <c r="G16" s="11" t="s">
        <v>27</v>
      </c>
      <c r="H16" s="11" t="s">
        <v>28</v>
      </c>
      <c r="I16" s="11" t="s">
        <v>29</v>
      </c>
      <c r="J16" s="11" t="s">
        <v>30</v>
      </c>
      <c r="K16" s="11" t="s">
        <v>31</v>
      </c>
      <c r="L16" s="11" t="s">
        <v>32</v>
      </c>
      <c r="M16" s="11" t="s">
        <v>33</v>
      </c>
      <c r="N16" s="11" t="s">
        <v>34</v>
      </c>
      <c r="O16" s="11" t="s">
        <v>35</v>
      </c>
    </row>
    <row r="17" customFormat="false" ht="15" hidden="false" customHeight="false" outlineLevel="0" collapsed="false">
      <c r="A17" s="6" t="s">
        <v>6</v>
      </c>
      <c r="B17" s="7" t="n">
        <f aca="false">SUMIFS(Détail!$S$5:$S$30,Détail!$A$5:$A$30,$A17)</f>
        <v>107537</v>
      </c>
      <c r="C17" s="7" t="n">
        <f aca="false">SUMIFS(Détail!$T$5:$T$30,Détail!$A$5:$A$30,$A17)</f>
        <v>31125</v>
      </c>
      <c r="D17" s="7" t="n">
        <f aca="false">SUMIFS(Détail!$U$5:$U$30,Détail!$A$5:$A$30,$A17)</f>
        <v>0</v>
      </c>
      <c r="E17" s="7" t="n">
        <f aca="false">SUMIFS(Détail!$V$5:$V$30,Détail!$A$5:$A$30,$A17)</f>
        <v>0</v>
      </c>
      <c r="F17" s="7" t="n">
        <f aca="false">SUMIFS(Détail!$W$5:$W$30,Détail!$A$5:$A$30,$A17)</f>
        <v>0</v>
      </c>
      <c r="G17" s="7" t="n">
        <f aca="false">SUMIFS(Détail!$X$5:$X$30,Détail!$A$5:$A$30,$A17)</f>
        <v>0</v>
      </c>
      <c r="H17" s="7" t="n">
        <f aca="false">SUMIFS(Détail!$Y$5:$Y$30,Détail!$A$5:$A$30,$A17)</f>
        <v>0</v>
      </c>
      <c r="I17" s="7" t="n">
        <f aca="false">SUMIFS(Détail!$Z$5:$Z$30,Détail!$A$5:$A$30,$A17)</f>
        <v>0</v>
      </c>
      <c r="J17" s="7" t="n">
        <f aca="false">SUMIFS(Détail!$AA$5:$AA$30,Détail!$A$5:$A$30,$A17)</f>
        <v>0</v>
      </c>
      <c r="K17" s="7" t="n">
        <f aca="false">SUMIFS(Détail!$AB$5:$AB$30,Détail!$A$5:$A$30,$A17)</f>
        <v>0</v>
      </c>
      <c r="L17" s="7" t="n">
        <f aca="false">SUMIFS(Détail!$AC$5:$AC$30,Détail!$A$5:$A$30,$A17)</f>
        <v>0</v>
      </c>
      <c r="M17" s="7" t="n">
        <f aca="false">SUMIFS(Détail!$AD$5:$AD$30,Détail!$A$5:$A$30,$A17)</f>
        <v>0</v>
      </c>
      <c r="N17" s="7" t="n">
        <f aca="false">SUMIFS(Détail!$AE$5:$AE$30,Détail!$A$5:$A$30,$A17)</f>
        <v>0</v>
      </c>
      <c r="O17" s="7" t="n">
        <f aca="false">SUMIFS(Détail!$AF$5:$AF$30,Détail!$A$5:$A$30,$A17)</f>
        <v>0</v>
      </c>
    </row>
    <row r="18" customFormat="false" ht="15" hidden="false" customHeight="false" outlineLevel="0" collapsed="false">
      <c r="A18" s="6" t="s">
        <v>8</v>
      </c>
      <c r="B18" s="7" t="n">
        <f aca="false">SUMIFS(Détail!$S$5:$S$30,Détail!$A$5:$A$30,$A18)</f>
        <v>0</v>
      </c>
      <c r="C18" s="7" t="n">
        <f aca="false">SUMIFS(Détail!$T$5:$T$30,Détail!$A$5:$A$30,$A18)</f>
        <v>0</v>
      </c>
      <c r="D18" s="7" t="n">
        <f aca="false">SUMIFS(Détail!$U$5:$U$30,Détail!$A$5:$A$30,$A18)</f>
        <v>0</v>
      </c>
      <c r="E18" s="7" t="n">
        <f aca="false">SUMIFS(Détail!$V$5:$V$30,Détail!$A$5:$A$30,$A18)</f>
        <v>0</v>
      </c>
      <c r="F18" s="7" t="n">
        <f aca="false">SUMIFS(Détail!$W$5:$W$30,Détail!$A$5:$A$30,$A18)</f>
        <v>0</v>
      </c>
      <c r="G18" s="7" t="n">
        <f aca="false">SUMIFS(Détail!$X$5:$X$30,Détail!$A$5:$A$30,$A18)</f>
        <v>0</v>
      </c>
      <c r="H18" s="7" t="n">
        <f aca="false">SUMIFS(Détail!$Y$5:$Y$30,Détail!$A$5:$A$30,$A18)</f>
        <v>0</v>
      </c>
      <c r="I18" s="7" t="n">
        <f aca="false">SUMIFS(Détail!$Z$5:$Z$30,Détail!$A$5:$A$30,$A18)</f>
        <v>0</v>
      </c>
      <c r="J18" s="7" t="n">
        <f aca="false">SUMIFS(Détail!$AA$5:$AA$30,Détail!$A$5:$A$30,$A18)</f>
        <v>0</v>
      </c>
      <c r="K18" s="7" t="n">
        <f aca="false">SUMIFS(Détail!$AB$5:$AB$30,Détail!$A$5:$A$30,$A18)</f>
        <v>0</v>
      </c>
      <c r="L18" s="7" t="n">
        <f aca="false">SUMIFS(Détail!$AC$5:$AC$30,Détail!$A$5:$A$30,$A18)</f>
        <v>540</v>
      </c>
      <c r="M18" s="7" t="n">
        <f aca="false">SUMIFS(Détail!$AD$5:$AD$30,Détail!$A$5:$A$30,$A18)</f>
        <v>570</v>
      </c>
      <c r="N18" s="7" t="n">
        <f aca="false">SUMIFS(Détail!$AE$5:$AE$30,Détail!$A$5:$A$30,$A18)</f>
        <v>360</v>
      </c>
      <c r="O18" s="7" t="n">
        <f aca="false">SUMIFS(Détail!$AF$5:$AF$30,Détail!$A$5:$A$30,$A18)</f>
        <v>1200</v>
      </c>
    </row>
    <row r="19" customFormat="false" ht="15" hidden="false" customHeight="false" outlineLevel="0" collapsed="false">
      <c r="A19" s="6" t="s">
        <v>10</v>
      </c>
      <c r="B19" s="7" t="n">
        <f aca="false">SUMIFS(Détail!$S$5:$S$30,Détail!$A$5:$A$30,$A19)</f>
        <v>104</v>
      </c>
      <c r="C19" s="7" t="n">
        <f aca="false">SUMIFS(Détail!$T$5:$T$30,Détail!$A$5:$A$30,$A19)</f>
        <v>32</v>
      </c>
      <c r="D19" s="7" t="n">
        <f aca="false">SUMIFS(Détail!$U$5:$U$30,Détail!$A$5:$A$30,$A19)</f>
        <v>0</v>
      </c>
      <c r="E19" s="7" t="n">
        <f aca="false">SUMIFS(Détail!$V$5:$V$30,Détail!$A$5:$A$30,$A19)</f>
        <v>0</v>
      </c>
      <c r="F19" s="7" t="n">
        <f aca="false">SUMIFS(Détail!$W$5:$W$30,Détail!$A$5:$A$30,$A19)</f>
        <v>0</v>
      </c>
      <c r="G19" s="7" t="n">
        <f aca="false">SUMIFS(Détail!$X$5:$X$30,Détail!$A$5:$A$30,$A19)</f>
        <v>0</v>
      </c>
      <c r="H19" s="7" t="n">
        <f aca="false">SUMIFS(Détail!$Y$5:$Y$30,Détail!$A$5:$A$30,$A19)</f>
        <v>0</v>
      </c>
      <c r="I19" s="7" t="n">
        <f aca="false">SUMIFS(Détail!$Z$5:$Z$30,Détail!$A$5:$A$30,$A19)</f>
        <v>0</v>
      </c>
      <c r="J19" s="7" t="n">
        <f aca="false">SUMIFS(Détail!$AA$5:$AA$30,Détail!$A$5:$A$30,$A19)</f>
        <v>0</v>
      </c>
      <c r="K19" s="7" t="n">
        <f aca="false">SUMIFS(Détail!$AB$5:$AB$30,Détail!$A$5:$A$30,$A19)</f>
        <v>0</v>
      </c>
      <c r="L19" s="7" t="n">
        <f aca="false">SUMIFS(Détail!$AC$5:$AC$30,Détail!$A$5:$A$30,$A19)</f>
        <v>0</v>
      </c>
      <c r="M19" s="7" t="n">
        <f aca="false">SUMIFS(Détail!$AD$5:$AD$30,Détail!$A$5:$A$30,$A19)</f>
        <v>0</v>
      </c>
      <c r="N19" s="7" t="n">
        <f aca="false">SUMIFS(Détail!$AE$5:$AE$30,Détail!$A$5:$A$30,$A19)</f>
        <v>0</v>
      </c>
      <c r="O19" s="7" t="n">
        <f aca="false">SUMIFS(Détail!$AF$5:$AF$30,Détail!$A$5:$A$30,$A19)</f>
        <v>0</v>
      </c>
    </row>
    <row r="20" customFormat="false" ht="15" hidden="false" customHeight="false" outlineLevel="0" collapsed="false">
      <c r="A20" s="6" t="s">
        <v>12</v>
      </c>
      <c r="B20" s="7" t="n">
        <f aca="false">SUMIFS(Détail!$S$5:$S$30,Détail!$A$5:$A$30,$A20)</f>
        <v>1850</v>
      </c>
      <c r="C20" s="7" t="n">
        <f aca="false">SUMIFS(Détail!$T$5:$T$30,Détail!$A$5:$A$30,$A20)</f>
        <v>0</v>
      </c>
      <c r="D20" s="7" t="n">
        <f aca="false">SUMIFS(Détail!$U$5:$U$30,Détail!$A$5:$A$30,$A20)</f>
        <v>0</v>
      </c>
      <c r="E20" s="7" t="n">
        <f aca="false">SUMIFS(Détail!$V$5:$V$30,Détail!$A$5:$A$30,$A20)</f>
        <v>0</v>
      </c>
      <c r="F20" s="7" t="n">
        <f aca="false">SUMIFS(Détail!$W$5:$W$30,Détail!$A$5:$A$30,$A20)</f>
        <v>0</v>
      </c>
      <c r="G20" s="7" t="n">
        <f aca="false">SUMIFS(Détail!$X$5:$X$30,Détail!$A$5:$A$30,$A20)</f>
        <v>0</v>
      </c>
      <c r="H20" s="7" t="n">
        <f aca="false">SUMIFS(Détail!$Y$5:$Y$30,Détail!$A$5:$A$30,$A20)</f>
        <v>0</v>
      </c>
      <c r="I20" s="7" t="n">
        <f aca="false">SUMIFS(Détail!$Z$5:$Z$30,Détail!$A$5:$A$30,$A20)</f>
        <v>0</v>
      </c>
      <c r="J20" s="7" t="n">
        <f aca="false">SUMIFS(Détail!$AA$5:$AA$30,Détail!$A$5:$A$30,$A20)</f>
        <v>0</v>
      </c>
      <c r="K20" s="7" t="n">
        <f aca="false">SUMIFS(Détail!$AB$5:$AB$30,Détail!$A$5:$A$30,$A20)</f>
        <v>1480</v>
      </c>
      <c r="L20" s="7" t="n">
        <f aca="false">SUMIFS(Détail!$AC$5:$AC$30,Détail!$A$5:$A$30,$A20)</f>
        <v>2220</v>
      </c>
      <c r="M20" s="7" t="n">
        <f aca="false">SUMIFS(Détail!$AD$5:$AD$30,Détail!$A$5:$A$30,$A20)</f>
        <v>0</v>
      </c>
      <c r="N20" s="7" t="n">
        <f aca="false">SUMIFS(Détail!$AE$5:$AE$30,Détail!$A$5:$A$30,$A20)</f>
        <v>0</v>
      </c>
      <c r="O20" s="7" t="n">
        <f aca="false">SUMIFS(Détail!$AF$5:$AF$30,Détail!$A$5:$A$30,$A20)</f>
        <v>0</v>
      </c>
    </row>
    <row r="21" customFormat="false" ht="15" hidden="false" customHeight="false" outlineLevel="0" collapsed="false">
      <c r="A21" s="6" t="s">
        <v>14</v>
      </c>
      <c r="B21" s="7" t="n">
        <f aca="false">SUMIFS(Détail!$S$5:$S$30,Détail!$A$5:$A$30,$A21)</f>
        <v>0</v>
      </c>
      <c r="C21" s="7" t="n">
        <f aca="false">SUMIFS(Détail!$T$5:$T$30,Détail!$A$5:$A$30,$A21)</f>
        <v>0</v>
      </c>
      <c r="D21" s="7" t="n">
        <f aca="false">SUMIFS(Détail!$U$5:$U$30,Détail!$A$5:$A$30,$A21)</f>
        <v>0</v>
      </c>
      <c r="E21" s="7" t="n">
        <f aca="false">SUMIFS(Détail!$V$5:$V$30,Détail!$A$5:$A$30,$A21)</f>
        <v>0</v>
      </c>
      <c r="F21" s="7" t="n">
        <f aca="false">SUMIFS(Détail!$W$5:$W$30,Détail!$A$5:$A$30,$A21)</f>
        <v>0</v>
      </c>
      <c r="G21" s="7" t="n">
        <f aca="false">SUMIFS(Détail!$X$5:$X$30,Détail!$A$5:$A$30,$A21)</f>
        <v>0</v>
      </c>
      <c r="H21" s="7" t="n">
        <f aca="false">SUMIFS(Détail!$Y$5:$Y$30,Détail!$A$5:$A$30,$A21)</f>
        <v>0</v>
      </c>
      <c r="I21" s="7" t="n">
        <f aca="false">SUMIFS(Détail!$Z$5:$Z$30,Détail!$A$5:$A$30,$A21)</f>
        <v>0</v>
      </c>
      <c r="J21" s="7" t="n">
        <f aca="false">SUMIFS(Détail!$AA$5:$AA$30,Détail!$A$5:$A$30,$A21)</f>
        <v>0</v>
      </c>
      <c r="K21" s="7" t="n">
        <f aca="false">SUMIFS(Détail!$AB$5:$AB$30,Détail!$A$5:$A$30,$A21)</f>
        <v>0</v>
      </c>
      <c r="L21" s="7" t="n">
        <f aca="false">SUMIFS(Détail!$AC$5:$AC$30,Détail!$A$5:$A$30,$A21)</f>
        <v>316</v>
      </c>
      <c r="M21" s="7" t="n">
        <f aca="false">SUMIFS(Détail!$AD$5:$AD$30,Détail!$A$5:$A$30,$A21)</f>
        <v>553</v>
      </c>
      <c r="N21" s="7" t="n">
        <f aca="false">SUMIFS(Détail!$AE$5:$AE$30,Détail!$A$5:$A$30,$A21)</f>
        <v>316</v>
      </c>
      <c r="O21" s="7" t="n">
        <f aca="false">SUMIFS(Détail!$AF$5:$AF$30,Détail!$A$5:$A$30,$A21)</f>
        <v>0</v>
      </c>
    </row>
    <row r="22" customFormat="false" ht="15" hidden="false" customHeight="false" outlineLevel="0" collapsed="false">
      <c r="A22" s="6" t="s">
        <v>16</v>
      </c>
      <c r="B22" s="7" t="n">
        <f aca="false">SUMIFS(Détail!$S$5:$S$30,Détail!$A$5:$A$30,$A22)</f>
        <v>26000</v>
      </c>
      <c r="C22" s="7" t="n">
        <f aca="false">SUMIFS(Détail!$T$5:$T$30,Détail!$A$5:$A$30,$A22)</f>
        <v>2900</v>
      </c>
      <c r="D22" s="7" t="n">
        <f aca="false">SUMIFS(Détail!$U$5:$U$30,Détail!$A$5:$A$30,$A22)</f>
        <v>220</v>
      </c>
      <c r="E22" s="7" t="n">
        <f aca="false">SUMIFS(Détail!$V$5:$V$30,Détail!$A$5:$A$30,$A22)</f>
        <v>5850</v>
      </c>
      <c r="F22" s="7" t="n">
        <f aca="false">SUMIFS(Détail!$W$5:$W$30,Détail!$A$5:$A$30,$A22)</f>
        <v>3350</v>
      </c>
      <c r="G22" s="7" t="n">
        <f aca="false">SUMIFS(Détail!$X$5:$X$30,Détail!$A$5:$A$30,$A22)</f>
        <v>220</v>
      </c>
      <c r="H22" s="7" t="n">
        <f aca="false">SUMIFS(Détail!$Y$5:$Y$30,Détail!$A$5:$A$30,$A22)</f>
        <v>470</v>
      </c>
      <c r="I22" s="7" t="n">
        <f aca="false">SUMIFS(Détail!$Z$5:$Z$30,Détail!$A$5:$A$30,$A22)</f>
        <v>1400</v>
      </c>
      <c r="J22" s="7" t="n">
        <f aca="false">SUMIFS(Détail!$AA$5:$AA$30,Détail!$A$5:$A$30,$A22)</f>
        <v>100</v>
      </c>
      <c r="K22" s="7" t="n">
        <f aca="false">SUMIFS(Détail!$AB$5:$AB$30,Détail!$A$5:$A$30,$A22)</f>
        <v>0</v>
      </c>
      <c r="L22" s="7" t="n">
        <f aca="false">SUMIFS(Détail!$AC$5:$AC$30,Détail!$A$5:$A$30,$A22)</f>
        <v>0</v>
      </c>
      <c r="M22" s="7" t="n">
        <f aca="false">SUMIFS(Détail!$AD$5:$AD$30,Détail!$A$5:$A$30,$A22)</f>
        <v>0</v>
      </c>
      <c r="N22" s="7" t="n">
        <f aca="false">SUMIFS(Détail!$AE$5:$AE$30,Détail!$A$5:$A$30,$A22)</f>
        <v>0</v>
      </c>
      <c r="O22" s="7" t="n">
        <f aca="false">SUMIFS(Détail!$AF$5:$AF$30,Détail!$A$5:$A$30,$A22)</f>
        <v>0</v>
      </c>
    </row>
    <row r="23" customFormat="false" ht="15" hidden="false" customHeight="false" outlineLevel="0" collapsed="false">
      <c r="A23" s="6" t="s">
        <v>18</v>
      </c>
      <c r="B23" s="7" t="n">
        <f aca="false">SUMIFS(Détail!$S$5:$S$30,Détail!$A$5:$A$30,$A23)</f>
        <v>34060</v>
      </c>
      <c r="C23" s="7" t="n">
        <f aca="false">SUMIFS(Détail!$T$5:$T$30,Détail!$A$5:$A$30,$A23)</f>
        <v>11100</v>
      </c>
      <c r="D23" s="7" t="n">
        <f aca="false">SUMIFS(Détail!$U$5:$U$30,Détail!$A$5:$A$30,$A23)</f>
        <v>16830</v>
      </c>
      <c r="E23" s="7" t="n">
        <f aca="false">SUMIFS(Détail!$V$5:$V$30,Détail!$A$5:$A$30,$A23)</f>
        <v>7730</v>
      </c>
      <c r="F23" s="7" t="n">
        <f aca="false">SUMIFS(Détail!$W$5:$W$30,Détail!$A$5:$A$30,$A23)</f>
        <v>2000</v>
      </c>
      <c r="G23" s="7" t="n">
        <f aca="false">SUMIFS(Détail!$X$5:$X$30,Détail!$A$5:$A$30,$A23)</f>
        <v>78</v>
      </c>
      <c r="H23" s="7" t="n">
        <f aca="false">SUMIFS(Détail!$Y$5:$Y$30,Détail!$A$5:$A$30,$A23)</f>
        <v>0</v>
      </c>
      <c r="I23" s="7" t="n">
        <f aca="false">SUMIFS(Détail!$Z$5:$Z$30,Détail!$A$5:$A$30,$A23)</f>
        <v>0</v>
      </c>
      <c r="J23" s="7" t="n">
        <f aca="false">SUMIFS(Détail!$AA$5:$AA$30,Détail!$A$5:$A$30,$A23)</f>
        <v>0</v>
      </c>
      <c r="K23" s="7" t="n">
        <f aca="false">SUMIFS(Détail!$AB$5:$AB$30,Détail!$A$5:$A$30,$A23)</f>
        <v>0</v>
      </c>
      <c r="L23" s="7" t="n">
        <f aca="false">SUMIFS(Détail!$AC$5:$AC$30,Détail!$A$5:$A$30,$A23)</f>
        <v>0</v>
      </c>
      <c r="M23" s="7" t="n">
        <f aca="false">SUMIFS(Détail!$AD$5:$AD$30,Détail!$A$5:$A$30,$A23)</f>
        <v>0</v>
      </c>
      <c r="N23" s="7" t="n">
        <f aca="false">SUMIFS(Détail!$AE$5:$AE$30,Détail!$A$5:$A$30,$A23)</f>
        <v>0</v>
      </c>
      <c r="O23" s="7" t="n">
        <f aca="false">SUMIFS(Détail!$AF$5:$AF$30,Détail!$A$5:$A$30,$A23)</f>
        <v>0</v>
      </c>
    </row>
    <row r="24" customFormat="false" ht="15" hidden="false" customHeight="false" outlineLevel="0" collapsed="false">
      <c r="A24" s="8" t="s">
        <v>36</v>
      </c>
      <c r="B24" s="9" t="n">
        <f aca="false">SUM(B17:B22)</f>
        <v>135491</v>
      </c>
      <c r="C24" s="9" t="n">
        <f aca="false">SUM(C17:C22)</f>
        <v>34057</v>
      </c>
      <c r="D24" s="9" t="n">
        <f aca="false">SUM(D17:D22)</f>
        <v>220</v>
      </c>
      <c r="E24" s="9" t="n">
        <f aca="false">SUM(E17:E22)</f>
        <v>5850</v>
      </c>
      <c r="F24" s="9" t="n">
        <f aca="false">SUM(F17:F22)</f>
        <v>3350</v>
      </c>
      <c r="G24" s="9" t="n">
        <f aca="false">SUM(G17:G22)</f>
        <v>220</v>
      </c>
      <c r="H24" s="9" t="n">
        <f aca="false">SUM(H17:H22)</f>
        <v>470</v>
      </c>
      <c r="I24" s="9" t="n">
        <f aca="false">SUM(I17:I22)</f>
        <v>1400</v>
      </c>
      <c r="J24" s="9" t="n">
        <f aca="false">SUM(J17:J22)</f>
        <v>100</v>
      </c>
      <c r="K24" s="9" t="n">
        <f aca="false">SUM(K17:K22)</f>
        <v>1480</v>
      </c>
      <c r="L24" s="9" t="n">
        <f aca="false">SUM(L17:L22)</f>
        <v>3076</v>
      </c>
      <c r="M24" s="9" t="n">
        <f aca="false">SUM(M17:M22)</f>
        <v>1123</v>
      </c>
      <c r="N24" s="9" t="n">
        <f aca="false">SUM(N17:N22)</f>
        <v>676</v>
      </c>
      <c r="O24" s="9" t="n">
        <f aca="false">SUM(O17:O22)</f>
        <v>1200</v>
      </c>
    </row>
    <row r="25" customFormat="false" ht="15" hidden="false" customHeight="false" outlineLevel="0" collapsed="false">
      <c r="A25" s="8" t="s">
        <v>37</v>
      </c>
      <c r="B25" s="9" t="n">
        <f aca="false">SUM(B17:B23)</f>
        <v>169551</v>
      </c>
      <c r="C25" s="9" t="n">
        <f aca="false">SUM(C17:C23)</f>
        <v>45157</v>
      </c>
      <c r="D25" s="9" t="n">
        <f aca="false">SUM(D17:D23)</f>
        <v>17050</v>
      </c>
      <c r="E25" s="9" t="n">
        <f aca="false">SUM(E17:E23)</f>
        <v>13580</v>
      </c>
      <c r="F25" s="9" t="n">
        <f aca="false">SUM(F17:F23)</f>
        <v>5350</v>
      </c>
      <c r="G25" s="9" t="n">
        <f aca="false">SUM(G17:G23)</f>
        <v>298</v>
      </c>
      <c r="H25" s="9" t="n">
        <f aca="false">SUM(H17:H23)</f>
        <v>470</v>
      </c>
      <c r="I25" s="9" t="n">
        <f aca="false">SUM(I17:I23)</f>
        <v>1400</v>
      </c>
      <c r="J25" s="9" t="n">
        <f aca="false">SUM(J17:J23)</f>
        <v>100</v>
      </c>
      <c r="K25" s="9" t="n">
        <f aca="false">SUM(K17:K23)</f>
        <v>1480</v>
      </c>
      <c r="L25" s="9" t="n">
        <f aca="false">SUM(L17:L23)</f>
        <v>3076</v>
      </c>
      <c r="M25" s="9" t="n">
        <f aca="false">SUM(M17:M23)</f>
        <v>1123</v>
      </c>
      <c r="N25" s="9" t="n">
        <f aca="false">SUM(N17:N23)</f>
        <v>676</v>
      </c>
      <c r="O25" s="9" t="n">
        <f aca="false">SUM(O17:O23)</f>
        <v>1200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4" t="s">
        <v>38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4" t="s">
        <v>39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12" t="s">
        <v>40</v>
      </c>
      <c r="B29" s="13" t="n">
        <v>2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" hidden="false" customHeight="false" outlineLevel="0" collapsed="false">
      <c r="A30" s="12" t="s">
        <v>41</v>
      </c>
      <c r="B30" s="13" t="n">
        <v>3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" hidden="false" customHeight="false" outlineLevel="0" collapsed="false">
      <c r="A31" s="12" t="s">
        <v>42</v>
      </c>
      <c r="B31" s="13" t="n">
        <v>1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" hidden="false" customHeight="false" outlineLevel="0" collapsed="false">
      <c r="A32" s="12" t="s">
        <v>43</v>
      </c>
      <c r="B32" s="13" t="n">
        <v>2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" hidden="false" customHeight="false" outlineLevel="0" collapsed="false">
      <c r="A33" s="12" t="s">
        <v>44</v>
      </c>
      <c r="B33" s="13" t="n">
        <v>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" hidden="false" customHeight="false" outlineLevel="0" collapsed="false">
      <c r="A34" s="12" t="s">
        <v>45</v>
      </c>
      <c r="B34" s="13" t="n">
        <v>4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" hidden="false" customHeight="false" outlineLevel="0" collapsed="false">
      <c r="A35" s="12" t="s">
        <v>46</v>
      </c>
      <c r="B35" s="13" t="n">
        <v>8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" hidden="false" customHeight="false" outlineLevel="0" collapsed="false">
      <c r="A36" s="12" t="s">
        <v>47</v>
      </c>
      <c r="B36" s="13" t="n">
        <v>2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" hidden="false" customHeight="false" outlineLevel="0" collapsed="false">
      <c r="A37" s="12" t="s">
        <v>48</v>
      </c>
      <c r="B37" s="13" t="n">
        <v>1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" hidden="false" customHeight="false" outlineLevel="0" collapsed="false">
      <c r="A39" s="5" t="s">
        <v>49</v>
      </c>
      <c r="B39" s="5" t="s">
        <v>50</v>
      </c>
      <c r="C39" s="5" t="s">
        <v>51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" hidden="false" customHeight="false" outlineLevel="0" collapsed="false">
      <c r="A40" s="6" t="s">
        <v>52</v>
      </c>
      <c r="B40" s="14" t="n">
        <f aca="false">(B24+$B$31*D24)</f>
        <v>135711</v>
      </c>
      <c r="C40" s="14" t="n">
        <f aca="false">(B25+$B$31*D25)</f>
        <v>186601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" hidden="false" customHeight="false" outlineLevel="0" collapsed="false">
      <c r="A41" s="6" t="s">
        <v>53</v>
      </c>
      <c r="B41" s="14" t="n">
        <f aca="false">$B$29*(B24+$B$31*D24)</f>
        <v>271422</v>
      </c>
      <c r="C41" s="14" t="n">
        <f aca="false">$B$29*(B25+$B$31*D25)</f>
        <v>373202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" hidden="false" customHeight="false" outlineLevel="0" collapsed="false">
      <c r="A42" s="6" t="s">
        <v>54</v>
      </c>
      <c r="B42" s="14" t="n">
        <f aca="false">(C24+$B$33*E24)</f>
        <v>45757</v>
      </c>
      <c r="C42" s="14" t="n">
        <f aca="false">(C25+$B$33*E25)</f>
        <v>72317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" hidden="false" customHeight="false" outlineLevel="0" collapsed="false">
      <c r="A43" s="6" t="s">
        <v>55</v>
      </c>
      <c r="B43" s="14" t="n">
        <f aca="false">$B$34*(C24+$B$33*E24)</f>
        <v>183028</v>
      </c>
      <c r="C43" s="14" t="n">
        <f aca="false">$B$34*(C25+$B$33*E25)</f>
        <v>289268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" hidden="false" customHeight="false" outlineLevel="0" collapsed="false">
      <c r="A44" s="6" t="s">
        <v>35</v>
      </c>
      <c r="B44" s="14" t="n">
        <f aca="false">$B$35*(C24+$B$33*E24)+$B$37*J24+O24</f>
        <v>367356</v>
      </c>
      <c r="C44" s="14" t="n">
        <f aca="false">$B$35*(C25+$B$33*E25)+$B$37*J25+O25</f>
        <v>579836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" hidden="false" customHeight="false" outlineLevel="0" collapsed="false">
      <c r="A45" s="6" t="s">
        <v>56</v>
      </c>
      <c r="B45" s="14" t="n">
        <f aca="false">$B$32*E24</f>
        <v>11700</v>
      </c>
      <c r="C45" s="14" t="n">
        <f aca="false">$B$32*E25</f>
        <v>27160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" hidden="false" customHeight="false" outlineLevel="0" collapsed="false">
      <c r="A46" s="6" t="s">
        <v>57</v>
      </c>
      <c r="B46" s="14" t="n">
        <f aca="false">$B$30*D24</f>
        <v>660</v>
      </c>
      <c r="C46" s="14" t="n">
        <f aca="false">$B$30*D25</f>
        <v>51150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" hidden="false" customHeight="false" outlineLevel="0" collapsed="false">
      <c r="A47" s="6" t="s">
        <v>58</v>
      </c>
      <c r="B47" s="14" t="n">
        <f aca="false">$B$36*J24</f>
        <v>200</v>
      </c>
      <c r="C47" s="14" t="n">
        <f aca="false">$B$36*J25</f>
        <v>200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" hidden="false" customHeight="false" outlineLevel="0" collapsed="false">
      <c r="A49" s="3" t="s">
        <v>59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" hidden="false" customHeight="false" outlineLevel="0" collapsed="false">
      <c r="A50" s="3" t="s">
        <v>60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" hidden="false" customHeight="false" outlineLevel="0" collapsed="false">
      <c r="A51" s="3" t="s">
        <v>61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" hidden="false" customHeight="false" outlineLevel="0" collapsed="false">
      <c r="A52" s="3" t="s">
        <v>62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1" min="2" style="0" width="12"/>
  </cols>
  <sheetData>
    <row r="1" customFormat="false" ht="17.35" hidden="false" customHeight="false" outlineLevel="0" collapsed="false">
      <c r="A1" s="1" t="s">
        <v>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5" hidden="false" customHeight="false" outlineLevel="0" collapsed="false">
      <c r="A2" s="3" t="s">
        <v>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5" hidden="false" customHeight="false" outlineLevel="0" collapsed="false">
      <c r="A4" s="15" t="s">
        <v>65</v>
      </c>
      <c r="B4" s="2"/>
      <c r="C4" s="3" t="s">
        <v>66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30" hidden="false" customHeight="true" outlineLevel="0" collapsed="false">
      <c r="A5" s="11" t="s">
        <v>67</v>
      </c>
      <c r="B5" s="11" t="s">
        <v>68</v>
      </c>
      <c r="C5" s="11" t="s">
        <v>69</v>
      </c>
      <c r="D5" s="11" t="s">
        <v>70</v>
      </c>
      <c r="E5" s="11" t="s">
        <v>71</v>
      </c>
      <c r="F5" s="11" t="s">
        <v>72</v>
      </c>
      <c r="G5" s="11" t="s">
        <v>73</v>
      </c>
      <c r="H5" s="11" t="s">
        <v>74</v>
      </c>
      <c r="I5" s="11" t="s">
        <v>75</v>
      </c>
      <c r="J5" s="11" t="s">
        <v>76</v>
      </c>
      <c r="K5" s="11" t="s">
        <v>77</v>
      </c>
      <c r="L5" s="11" t="s">
        <v>78</v>
      </c>
      <c r="M5" s="11" t="s">
        <v>79</v>
      </c>
      <c r="N5" s="11" t="s">
        <v>80</v>
      </c>
      <c r="O5" s="11" t="s">
        <v>81</v>
      </c>
      <c r="P5" s="11" t="s">
        <v>82</v>
      </c>
      <c r="Q5" s="11" t="s">
        <v>83</v>
      </c>
      <c r="R5" s="11" t="s">
        <v>84</v>
      </c>
      <c r="S5" s="11" t="s">
        <v>85</v>
      </c>
      <c r="T5" s="11" t="s">
        <v>86</v>
      </c>
      <c r="U5" s="11" t="s">
        <v>87</v>
      </c>
      <c r="V5" s="11" t="s">
        <v>88</v>
      </c>
      <c r="W5" s="11" t="s">
        <v>89</v>
      </c>
      <c r="X5" s="11" t="s">
        <v>90</v>
      </c>
      <c r="Y5" s="11" t="s">
        <v>91</v>
      </c>
      <c r="Z5" s="11" t="s">
        <v>92</v>
      </c>
      <c r="AA5" s="11" t="s">
        <v>93</v>
      </c>
      <c r="AB5" s="11" t="s">
        <v>94</v>
      </c>
      <c r="AC5" s="11" t="s">
        <v>95</v>
      </c>
      <c r="AD5" s="11" t="s">
        <v>96</v>
      </c>
    </row>
    <row r="6" customFormat="false" ht="15" hidden="false" customHeight="false" outlineLevel="0" collapsed="false">
      <c r="A6" s="6" t="s">
        <v>97</v>
      </c>
      <c r="B6" s="16" t="n">
        <v>684</v>
      </c>
      <c r="C6" s="7" t="n">
        <f aca="false">IFERROR(INDEX(Détail!$E$5:$E$30,MATCH("Fondation triangle métal",Détail!$B$5:$B$30,0)),0)</f>
        <v>25</v>
      </c>
      <c r="D6" s="7" t="n">
        <f aca="false">IFERROR(INDEX(Détail!$F$5:$F$30,MATCH("Fondation triangle métal",Détail!$B$5:$B$30,0)),0)</f>
        <v>8</v>
      </c>
      <c r="E6" s="7" t="n">
        <f aca="false">IFERROR(INDEX(Détail!$G$5:$G$30,MATCH("Fondation triangle métal",Détail!$B$5:$B$30,0)),0)</f>
        <v>0</v>
      </c>
      <c r="F6" s="7" t="n">
        <f aca="false">IFERROR(INDEX(Détail!$H$5:$H$30,MATCH("Fondation triangle métal",Détail!$B$5:$B$30,0)),0)</f>
        <v>0</v>
      </c>
      <c r="G6" s="7" t="n">
        <f aca="false">IFERROR(INDEX(Détail!$I$5:$I$30,MATCH("Fondation triangle métal",Détail!$B$5:$B$30,0)),0)</f>
        <v>0</v>
      </c>
      <c r="H6" s="7" t="n">
        <f aca="false">IFERROR(INDEX(Détail!$J$5:$J$30,MATCH("Fondation triangle métal",Détail!$B$5:$B$30,0)),0)</f>
        <v>0</v>
      </c>
      <c r="I6" s="7" t="n">
        <f aca="false">IFERROR(INDEX(Détail!$K$5:$K$30,MATCH("Fondation triangle métal",Détail!$B$5:$B$30,0)),0)</f>
        <v>0</v>
      </c>
      <c r="J6" s="7" t="n">
        <f aca="false">IFERROR(INDEX(Détail!$L$5:$L$30,MATCH("Fondation triangle métal",Détail!$B$5:$B$30,0)),0)</f>
        <v>0</v>
      </c>
      <c r="K6" s="7" t="n">
        <f aca="false">IFERROR(INDEX(Détail!$M$5:$M$30,MATCH("Fondation triangle métal",Détail!$B$5:$B$30,0)),0)</f>
        <v>0</v>
      </c>
      <c r="L6" s="7" t="n">
        <f aca="false">IFERROR(INDEX(Détail!$N$5:$N$30,MATCH("Fondation triangle métal",Détail!$B$5:$B$30,0)),0)</f>
        <v>0</v>
      </c>
      <c r="M6" s="7" t="n">
        <f aca="false">IFERROR(INDEX(Détail!$O$5:$O$30,MATCH("Fondation triangle métal",Détail!$B$5:$B$30,0)),0)</f>
        <v>0</v>
      </c>
      <c r="N6" s="7" t="n">
        <f aca="false">IFERROR(INDEX(Détail!$P$5:$P$30,MATCH("Fondation triangle métal",Détail!$B$5:$B$30,0)),0)</f>
        <v>0</v>
      </c>
      <c r="O6" s="7" t="n">
        <f aca="false">IFERROR(INDEX(Détail!$Q$5:$Q$30,MATCH("Fondation triangle métal",Détail!$B$5:$B$30,0)),0)</f>
        <v>0</v>
      </c>
      <c r="P6" s="7" t="n">
        <f aca="false">IFERROR(INDEX(Détail!$R$5:$R$30,MATCH("Fondation triangle métal",Détail!$B$5:$B$30,0)),0)</f>
        <v>0</v>
      </c>
      <c r="Q6" s="14" t="n">
        <f aca="false">$B6*C6</f>
        <v>17100</v>
      </c>
      <c r="R6" s="14" t="n">
        <f aca="false">$B6*D6</f>
        <v>5472</v>
      </c>
      <c r="S6" s="14" t="n">
        <f aca="false">$B6*E6</f>
        <v>0</v>
      </c>
      <c r="T6" s="14" t="n">
        <f aca="false">$B6*F6</f>
        <v>0</v>
      </c>
      <c r="U6" s="14" t="n">
        <f aca="false">$B6*G6</f>
        <v>0</v>
      </c>
      <c r="V6" s="14" t="n">
        <f aca="false">$B6*H6</f>
        <v>0</v>
      </c>
      <c r="W6" s="14" t="n">
        <f aca="false">$B6*I6</f>
        <v>0</v>
      </c>
      <c r="X6" s="14" t="n">
        <f aca="false">$B6*J6</f>
        <v>0</v>
      </c>
      <c r="Y6" s="14" t="n">
        <f aca="false">$B6*K6</f>
        <v>0</v>
      </c>
      <c r="Z6" s="14" t="n">
        <f aca="false">$B6*L6</f>
        <v>0</v>
      </c>
      <c r="AA6" s="14" t="n">
        <f aca="false">$B6*M6</f>
        <v>0</v>
      </c>
      <c r="AB6" s="14" t="n">
        <f aca="false">$B6*N6</f>
        <v>0</v>
      </c>
      <c r="AC6" s="14" t="n">
        <f aca="false">$B6*O6</f>
        <v>0</v>
      </c>
      <c r="AD6" s="14" t="n">
        <f aca="false">$B6*P6</f>
        <v>0</v>
      </c>
    </row>
    <row r="7" customFormat="false" ht="15" hidden="false" customHeight="false" outlineLevel="0" collapsed="false">
      <c r="A7" s="6" t="s">
        <v>98</v>
      </c>
      <c r="B7" s="16" t="n">
        <v>344</v>
      </c>
      <c r="C7" s="7" t="n">
        <f aca="false">IFERROR(INDEX(Détail!$E$5:$E$30,MATCH("Fondation métal",Détail!$B$5:$B$30,0)),0)</f>
        <v>50</v>
      </c>
      <c r="D7" s="7" t="n">
        <f aca="false">IFERROR(INDEX(Détail!$F$5:$F$30,MATCH("Fondation métal",Détail!$B$5:$B$30,0)),0)</f>
        <v>15</v>
      </c>
      <c r="E7" s="7" t="n">
        <f aca="false">IFERROR(INDEX(Détail!$G$5:$G$30,MATCH("Fondation métal",Détail!$B$5:$B$30,0)),0)</f>
        <v>0</v>
      </c>
      <c r="F7" s="7" t="n">
        <f aca="false">IFERROR(INDEX(Détail!$H$5:$H$30,MATCH("Fondation métal",Détail!$B$5:$B$30,0)),0)</f>
        <v>0</v>
      </c>
      <c r="G7" s="7" t="n">
        <f aca="false">IFERROR(INDEX(Détail!$I$5:$I$30,MATCH("Fondation métal",Détail!$B$5:$B$30,0)),0)</f>
        <v>0</v>
      </c>
      <c r="H7" s="7" t="n">
        <f aca="false">IFERROR(INDEX(Détail!$J$5:$J$30,MATCH("Fondation métal",Détail!$B$5:$B$30,0)),0)</f>
        <v>0</v>
      </c>
      <c r="I7" s="7" t="n">
        <f aca="false">IFERROR(INDEX(Détail!$K$5:$K$30,MATCH("Fondation métal",Détail!$B$5:$B$30,0)),0)</f>
        <v>0</v>
      </c>
      <c r="J7" s="7" t="n">
        <f aca="false">IFERROR(INDEX(Détail!$L$5:$L$30,MATCH("Fondation métal",Détail!$B$5:$B$30,0)),0)</f>
        <v>0</v>
      </c>
      <c r="K7" s="7" t="n">
        <f aca="false">IFERROR(INDEX(Détail!$M$5:$M$30,MATCH("Fondation métal",Détail!$B$5:$B$30,0)),0)</f>
        <v>0</v>
      </c>
      <c r="L7" s="7" t="n">
        <f aca="false">IFERROR(INDEX(Détail!$N$5:$N$30,MATCH("Fondation métal",Détail!$B$5:$B$30,0)),0)</f>
        <v>0</v>
      </c>
      <c r="M7" s="7" t="n">
        <f aca="false">IFERROR(INDEX(Détail!$O$5:$O$30,MATCH("Fondation métal",Détail!$B$5:$B$30,0)),0)</f>
        <v>0</v>
      </c>
      <c r="N7" s="7" t="n">
        <f aca="false">IFERROR(INDEX(Détail!$P$5:$P$30,MATCH("Fondation métal",Détail!$B$5:$B$30,0)),0)</f>
        <v>0</v>
      </c>
      <c r="O7" s="7" t="n">
        <f aca="false">IFERROR(INDEX(Détail!$Q$5:$Q$30,MATCH("Fondation métal",Détail!$B$5:$B$30,0)),0)</f>
        <v>0</v>
      </c>
      <c r="P7" s="7" t="n">
        <f aca="false">IFERROR(INDEX(Détail!$R$5:$R$30,MATCH("Fondation métal",Détail!$B$5:$B$30,0)),0)</f>
        <v>0</v>
      </c>
      <c r="Q7" s="14" t="n">
        <f aca="false">$B7*C7</f>
        <v>17200</v>
      </c>
      <c r="R7" s="14" t="n">
        <f aca="false">$B7*D7</f>
        <v>5160</v>
      </c>
      <c r="S7" s="14" t="n">
        <f aca="false">$B7*E7</f>
        <v>0</v>
      </c>
      <c r="T7" s="14" t="n">
        <f aca="false">$B7*F7</f>
        <v>0</v>
      </c>
      <c r="U7" s="14" t="n">
        <f aca="false">$B7*G7</f>
        <v>0</v>
      </c>
      <c r="V7" s="14" t="n">
        <f aca="false">$B7*H7</f>
        <v>0</v>
      </c>
      <c r="W7" s="14" t="n">
        <f aca="false">$B7*I7</f>
        <v>0</v>
      </c>
      <c r="X7" s="14" t="n">
        <f aca="false">$B7*J7</f>
        <v>0</v>
      </c>
      <c r="Y7" s="14" t="n">
        <f aca="false">$B7*K7</f>
        <v>0</v>
      </c>
      <c r="Z7" s="14" t="n">
        <f aca="false">$B7*L7</f>
        <v>0</v>
      </c>
      <c r="AA7" s="14" t="n">
        <f aca="false">$B7*M7</f>
        <v>0</v>
      </c>
      <c r="AB7" s="14" t="n">
        <f aca="false">$B7*N7</f>
        <v>0</v>
      </c>
      <c r="AC7" s="14" t="n">
        <f aca="false">$B7*O7</f>
        <v>0</v>
      </c>
      <c r="AD7" s="14" t="n">
        <f aca="false">$B7*P7</f>
        <v>0</v>
      </c>
    </row>
    <row r="8" customFormat="false" ht="15" hidden="false" customHeight="false" outlineLevel="0" collapsed="false">
      <c r="A8" s="8" t="s">
        <v>99</v>
      </c>
      <c r="B8" s="9" t="n">
        <f aca="false">SUM(B6:B7)</f>
        <v>1028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9" t="n">
        <f aca="false">SUM(Q6:Q7)</f>
        <v>34300</v>
      </c>
      <c r="R8" s="9" t="n">
        <f aca="false">SUM(R6:R7)</f>
        <v>10632</v>
      </c>
      <c r="S8" s="9" t="n">
        <f aca="false">SUM(S6:S7)</f>
        <v>0</v>
      </c>
      <c r="T8" s="9" t="n">
        <f aca="false">SUM(T6:T7)</f>
        <v>0</v>
      </c>
      <c r="U8" s="9" t="n">
        <f aca="false">SUM(U6:U7)</f>
        <v>0</v>
      </c>
      <c r="V8" s="9" t="n">
        <f aca="false">SUM(V6:V7)</f>
        <v>0</v>
      </c>
      <c r="W8" s="9" t="n">
        <f aca="false">SUM(W6:W7)</f>
        <v>0</v>
      </c>
      <c r="X8" s="9" t="n">
        <f aca="false">SUM(X6:X7)</f>
        <v>0</v>
      </c>
      <c r="Y8" s="9" t="n">
        <f aca="false">SUM(Y6:Y7)</f>
        <v>0</v>
      </c>
      <c r="Z8" s="9" t="n">
        <f aca="false">SUM(Z6:Z7)</f>
        <v>0</v>
      </c>
      <c r="AA8" s="9" t="n">
        <f aca="false">SUM(AA6:AA7)</f>
        <v>0</v>
      </c>
      <c r="AB8" s="9" t="n">
        <f aca="false">SUM(AB6:AB7)</f>
        <v>0</v>
      </c>
      <c r="AC8" s="9" t="n">
        <f aca="false">SUM(AC6:AC7)</f>
        <v>0</v>
      </c>
      <c r="AD8" s="9" t="n">
        <f aca="false">SUM(AD6:AD7)</f>
        <v>0</v>
      </c>
    </row>
    <row r="9" customFormat="false" ht="15" hidden="false" customHeight="false" outlineLevel="0" collapsed="false">
      <c r="A9" s="8" t="s">
        <v>36</v>
      </c>
      <c r="B9" s="9" t="n">
        <f aca="false">SUM(B6:B7)-SUMIF(A6:A7,"* (inventaire)",B6:B7)</f>
        <v>1028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9" t="n">
        <f aca="false">SUM(Q6:Q7)-SUMIF(A6:A7,"* (inventaire)",Q6:Q7)</f>
        <v>34300</v>
      </c>
      <c r="R9" s="9" t="n">
        <f aca="false">SUM(R6:R7)-SUMIF(A6:A7,"* (inventaire)",R6:R7)</f>
        <v>10632</v>
      </c>
      <c r="S9" s="9" t="n">
        <f aca="false">SUM(S6:S7)-SUMIF(A6:A7,"* (inventaire)",S6:S7)</f>
        <v>0</v>
      </c>
      <c r="T9" s="9" t="n">
        <f aca="false">SUM(T6:T7)-SUMIF(A6:A7,"* (inventaire)",T6:T7)</f>
        <v>0</v>
      </c>
      <c r="U9" s="9" t="n">
        <f aca="false">SUM(U6:U7)-SUMIF(A6:A7,"* (inventaire)",U6:U7)</f>
        <v>0</v>
      </c>
      <c r="V9" s="9" t="n">
        <f aca="false">SUM(V6:V7)-SUMIF(A6:A7,"* (inventaire)",V6:V7)</f>
        <v>0</v>
      </c>
      <c r="W9" s="9" t="n">
        <f aca="false">SUM(W6:W7)-SUMIF(A6:A7,"* (inventaire)",W6:W7)</f>
        <v>0</v>
      </c>
      <c r="X9" s="9" t="n">
        <f aca="false">SUM(X6:X7)-SUMIF(A6:A7,"* (inventaire)",X6:X7)</f>
        <v>0</v>
      </c>
      <c r="Y9" s="9" t="n">
        <f aca="false">SUM(Y6:Y7)-SUMIF(A6:A7,"* (inventaire)",Y6:Y7)</f>
        <v>0</v>
      </c>
      <c r="Z9" s="9" t="n">
        <f aca="false">SUM(Z6:Z7)-SUMIF(A6:A7,"* (inventaire)",Z6:Z7)</f>
        <v>0</v>
      </c>
      <c r="AA9" s="9" t="n">
        <f aca="false">SUM(AA6:AA7)-SUMIF(A6:A7,"* (inventaire)",AA6:AA7)</f>
        <v>0</v>
      </c>
      <c r="AB9" s="9" t="n">
        <f aca="false">SUM(AB6:AB7)-SUMIF(A6:A7,"* (inventaire)",AB6:AB7)</f>
        <v>0</v>
      </c>
      <c r="AC9" s="9" t="n">
        <f aca="false">SUM(AC6:AC7)-SUMIF(A6:A7,"* (inventaire)",AC6:AC7)</f>
        <v>0</v>
      </c>
      <c r="AD9" s="9" t="n">
        <f aca="false">SUM(AD6:AD7)-SUMIF(A6:A7,"* (inventaire)",AD6:AD7)</f>
        <v>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5" hidden="false" customHeight="false" outlineLevel="0" collapsed="false">
      <c r="A11" s="15" t="s">
        <v>100</v>
      </c>
      <c r="B11" s="2"/>
      <c r="C11" s="3" t="s">
        <v>101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30" hidden="false" customHeight="true" outlineLevel="0" collapsed="false">
      <c r="A12" s="11" t="s">
        <v>67</v>
      </c>
      <c r="B12" s="11" t="s">
        <v>68</v>
      </c>
      <c r="C12" s="11" t="s">
        <v>69</v>
      </c>
      <c r="D12" s="11" t="s">
        <v>70</v>
      </c>
      <c r="E12" s="11" t="s">
        <v>71</v>
      </c>
      <c r="F12" s="11" t="s">
        <v>72</v>
      </c>
      <c r="G12" s="11" t="s">
        <v>73</v>
      </c>
      <c r="H12" s="11" t="s">
        <v>74</v>
      </c>
      <c r="I12" s="11" t="s">
        <v>75</v>
      </c>
      <c r="J12" s="11" t="s">
        <v>76</v>
      </c>
      <c r="K12" s="11" t="s">
        <v>77</v>
      </c>
      <c r="L12" s="11" t="s">
        <v>78</v>
      </c>
      <c r="M12" s="11" t="s">
        <v>79</v>
      </c>
      <c r="N12" s="11" t="s">
        <v>80</v>
      </c>
      <c r="O12" s="11" t="s">
        <v>81</v>
      </c>
      <c r="P12" s="11" t="s">
        <v>82</v>
      </c>
      <c r="Q12" s="11" t="s">
        <v>83</v>
      </c>
      <c r="R12" s="11" t="s">
        <v>84</v>
      </c>
      <c r="S12" s="11" t="s">
        <v>85</v>
      </c>
      <c r="T12" s="11" t="s">
        <v>86</v>
      </c>
      <c r="U12" s="11" t="s">
        <v>87</v>
      </c>
      <c r="V12" s="11" t="s">
        <v>88</v>
      </c>
      <c r="W12" s="11" t="s">
        <v>89</v>
      </c>
      <c r="X12" s="11" t="s">
        <v>90</v>
      </c>
      <c r="Y12" s="11" t="s">
        <v>91</v>
      </c>
      <c r="Z12" s="11" t="s">
        <v>92</v>
      </c>
      <c r="AA12" s="11" t="s">
        <v>93</v>
      </c>
      <c r="AB12" s="11" t="s">
        <v>94</v>
      </c>
      <c r="AC12" s="11" t="s">
        <v>95</v>
      </c>
      <c r="AD12" s="11" t="s">
        <v>96</v>
      </c>
    </row>
    <row r="13" customFormat="false" ht="15" hidden="false" customHeight="false" outlineLevel="0" collapsed="false">
      <c r="A13" s="6" t="s">
        <v>102</v>
      </c>
      <c r="B13" s="16" t="n">
        <v>224</v>
      </c>
      <c r="C13" s="7" t="n">
        <f aca="false">IFERROR(INDEX(Détail!$E$5:$E$30,MATCH("Pilier métal",Détail!$B$5:$B$30,0)),0)</f>
        <v>25</v>
      </c>
      <c r="D13" s="7" t="n">
        <f aca="false">IFERROR(INDEX(Détail!$F$5:$F$30,MATCH("Pilier métal",Détail!$B$5:$B$30,0)),0)</f>
        <v>7</v>
      </c>
      <c r="E13" s="7" t="n">
        <f aca="false">IFERROR(INDEX(Détail!$G$5:$G$30,MATCH("Pilier métal",Détail!$B$5:$B$30,0)),0)</f>
        <v>0</v>
      </c>
      <c r="F13" s="7" t="n">
        <f aca="false">IFERROR(INDEX(Détail!$H$5:$H$30,MATCH("Pilier métal",Détail!$B$5:$B$30,0)),0)</f>
        <v>0</v>
      </c>
      <c r="G13" s="7" t="n">
        <f aca="false">IFERROR(INDEX(Détail!$I$5:$I$30,MATCH("Pilier métal",Détail!$B$5:$B$30,0)),0)</f>
        <v>0</v>
      </c>
      <c r="H13" s="7" t="n">
        <f aca="false">IFERROR(INDEX(Détail!$J$5:$J$30,MATCH("Pilier métal",Détail!$B$5:$B$30,0)),0)</f>
        <v>0</v>
      </c>
      <c r="I13" s="7" t="n">
        <f aca="false">IFERROR(INDEX(Détail!$K$5:$K$30,MATCH("Pilier métal",Détail!$B$5:$B$30,0)),0)</f>
        <v>0</v>
      </c>
      <c r="J13" s="7" t="n">
        <f aca="false">IFERROR(INDEX(Détail!$L$5:$L$30,MATCH("Pilier métal",Détail!$B$5:$B$30,0)),0)</f>
        <v>0</v>
      </c>
      <c r="K13" s="7" t="n">
        <f aca="false">IFERROR(INDEX(Détail!$M$5:$M$30,MATCH("Pilier métal",Détail!$B$5:$B$30,0)),0)</f>
        <v>0</v>
      </c>
      <c r="L13" s="7" t="n">
        <f aca="false">IFERROR(INDEX(Détail!$N$5:$N$30,MATCH("Pilier métal",Détail!$B$5:$B$30,0)),0)</f>
        <v>0</v>
      </c>
      <c r="M13" s="7" t="n">
        <f aca="false">IFERROR(INDEX(Détail!$O$5:$O$30,MATCH("Pilier métal",Détail!$B$5:$B$30,0)),0)</f>
        <v>0</v>
      </c>
      <c r="N13" s="7" t="n">
        <f aca="false">IFERROR(INDEX(Détail!$P$5:$P$30,MATCH("Pilier métal",Détail!$B$5:$B$30,0)),0)</f>
        <v>0</v>
      </c>
      <c r="O13" s="7" t="n">
        <f aca="false">IFERROR(INDEX(Détail!$Q$5:$Q$30,MATCH("Pilier métal",Détail!$B$5:$B$30,0)),0)</f>
        <v>0</v>
      </c>
      <c r="P13" s="7" t="n">
        <f aca="false">IFERROR(INDEX(Détail!$R$5:$R$30,MATCH("Pilier métal",Détail!$B$5:$B$30,0)),0)</f>
        <v>0</v>
      </c>
      <c r="Q13" s="14" t="n">
        <f aca="false">$B13*C13</f>
        <v>5600</v>
      </c>
      <c r="R13" s="14" t="n">
        <f aca="false">$B13*D13</f>
        <v>1568</v>
      </c>
      <c r="S13" s="14" t="n">
        <f aca="false">$B13*E13</f>
        <v>0</v>
      </c>
      <c r="T13" s="14" t="n">
        <f aca="false">$B13*F13</f>
        <v>0</v>
      </c>
      <c r="U13" s="14" t="n">
        <f aca="false">$B13*G13</f>
        <v>0</v>
      </c>
      <c r="V13" s="14" t="n">
        <f aca="false">$B13*H13</f>
        <v>0</v>
      </c>
      <c r="W13" s="14" t="n">
        <f aca="false">$B13*I13</f>
        <v>0</v>
      </c>
      <c r="X13" s="14" t="n">
        <f aca="false">$B13*J13</f>
        <v>0</v>
      </c>
      <c r="Y13" s="14" t="n">
        <f aca="false">$B13*K13</f>
        <v>0</v>
      </c>
      <c r="Z13" s="14" t="n">
        <f aca="false">$B13*L13</f>
        <v>0</v>
      </c>
      <c r="AA13" s="14" t="n">
        <f aca="false">$B13*M13</f>
        <v>0</v>
      </c>
      <c r="AB13" s="14" t="n">
        <f aca="false">$B13*N13</f>
        <v>0</v>
      </c>
      <c r="AC13" s="14" t="n">
        <f aca="false">$B13*O13</f>
        <v>0</v>
      </c>
      <c r="AD13" s="14" t="n">
        <f aca="false">$B13*P13</f>
        <v>0</v>
      </c>
    </row>
    <row r="14" customFormat="false" ht="15" hidden="false" customHeight="false" outlineLevel="0" collapsed="false">
      <c r="A14" s="8" t="s">
        <v>99</v>
      </c>
      <c r="B14" s="9" t="n">
        <f aca="false">SUM(B13:B13)</f>
        <v>224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9" t="n">
        <f aca="false">SUM(Q13:Q13)</f>
        <v>5600</v>
      </c>
      <c r="R14" s="9" t="n">
        <f aca="false">SUM(R13:R13)</f>
        <v>1568</v>
      </c>
      <c r="S14" s="9" t="n">
        <f aca="false">SUM(S13:S13)</f>
        <v>0</v>
      </c>
      <c r="T14" s="9" t="n">
        <f aca="false">SUM(T13:T13)</f>
        <v>0</v>
      </c>
      <c r="U14" s="9" t="n">
        <f aca="false">SUM(U13:U13)</f>
        <v>0</v>
      </c>
      <c r="V14" s="9" t="n">
        <f aca="false">SUM(V13:V13)</f>
        <v>0</v>
      </c>
      <c r="W14" s="9" t="n">
        <f aca="false">SUM(W13:W13)</f>
        <v>0</v>
      </c>
      <c r="X14" s="9" t="n">
        <f aca="false">SUM(X13:X13)</f>
        <v>0</v>
      </c>
      <c r="Y14" s="9" t="n">
        <f aca="false">SUM(Y13:Y13)</f>
        <v>0</v>
      </c>
      <c r="Z14" s="9" t="n">
        <f aca="false">SUM(Z13:Z13)</f>
        <v>0</v>
      </c>
      <c r="AA14" s="9" t="n">
        <f aca="false">SUM(AA13:AA13)</f>
        <v>0</v>
      </c>
      <c r="AB14" s="9" t="n">
        <f aca="false">SUM(AB13:AB13)</f>
        <v>0</v>
      </c>
      <c r="AC14" s="9" t="n">
        <f aca="false">SUM(AC13:AC13)</f>
        <v>0</v>
      </c>
      <c r="AD14" s="9" t="n">
        <f aca="false">SUM(AD13:AD13)</f>
        <v>0</v>
      </c>
    </row>
    <row r="15" customFormat="false" ht="15" hidden="false" customHeight="false" outlineLevel="0" collapsed="false">
      <c r="A15" s="8" t="s">
        <v>36</v>
      </c>
      <c r="B15" s="9" t="n">
        <f aca="false">SUM(B13:B13)-SUMIF(A13:A13,"* (inventaire)",B13:B13)</f>
        <v>224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9" t="n">
        <f aca="false">SUM(Q13:Q13)-SUMIF(A13:A13,"* (inventaire)",Q13:Q13)</f>
        <v>5600</v>
      </c>
      <c r="R15" s="9" t="n">
        <f aca="false">SUM(R13:R13)-SUMIF(A13:A13,"* (inventaire)",R13:R13)</f>
        <v>1568</v>
      </c>
      <c r="S15" s="9" t="n">
        <f aca="false">SUM(S13:S13)-SUMIF(A13:A13,"* (inventaire)",S13:S13)</f>
        <v>0</v>
      </c>
      <c r="T15" s="9" t="n">
        <f aca="false">SUM(T13:T13)-SUMIF(A13:A13,"* (inventaire)",T13:T13)</f>
        <v>0</v>
      </c>
      <c r="U15" s="9" t="n">
        <f aca="false">SUM(U13:U13)-SUMIF(A13:A13,"* (inventaire)",U13:U13)</f>
        <v>0</v>
      </c>
      <c r="V15" s="9" t="n">
        <f aca="false">SUM(V13:V13)-SUMIF(A13:A13,"* (inventaire)",V13:V13)</f>
        <v>0</v>
      </c>
      <c r="W15" s="9" t="n">
        <f aca="false">SUM(W13:W13)-SUMIF(A13:A13,"* (inventaire)",W13:W13)</f>
        <v>0</v>
      </c>
      <c r="X15" s="9" t="n">
        <f aca="false">SUM(X13:X13)-SUMIF(A13:A13,"* (inventaire)",X13:X13)</f>
        <v>0</v>
      </c>
      <c r="Y15" s="9" t="n">
        <f aca="false">SUM(Y13:Y13)-SUMIF(A13:A13,"* (inventaire)",Y13:Y13)</f>
        <v>0</v>
      </c>
      <c r="Z15" s="9" t="n">
        <f aca="false">SUM(Z13:Z13)-SUMIF(A13:A13,"* (inventaire)",Z13:Z13)</f>
        <v>0</v>
      </c>
      <c r="AA15" s="9" t="n">
        <f aca="false">SUM(AA13:AA13)-SUMIF(A13:A13,"* (inventaire)",AA13:AA13)</f>
        <v>0</v>
      </c>
      <c r="AB15" s="9" t="n">
        <f aca="false">SUM(AB13:AB13)-SUMIF(A13:A13,"* (inventaire)",AB13:AB13)</f>
        <v>0</v>
      </c>
      <c r="AC15" s="9" t="n">
        <f aca="false">SUM(AC13:AC13)-SUMIF(A13:A13,"* (inventaire)",AC13:AC13)</f>
        <v>0</v>
      </c>
      <c r="AD15" s="9" t="n">
        <f aca="false">SUM(AD13:AD13)-SUMIF(A13:A13,"* (inventaire)",AD13:AD13)</f>
        <v>0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5" hidden="false" customHeight="false" outlineLevel="0" collapsed="false">
      <c r="A17" s="15" t="s">
        <v>103</v>
      </c>
      <c r="B17" s="2"/>
      <c r="C17" s="3" t="s">
        <v>104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30" hidden="false" customHeight="true" outlineLevel="0" collapsed="false">
      <c r="A18" s="11" t="s">
        <v>67</v>
      </c>
      <c r="B18" s="11" t="s">
        <v>68</v>
      </c>
      <c r="C18" s="11" t="s">
        <v>69</v>
      </c>
      <c r="D18" s="11" t="s">
        <v>70</v>
      </c>
      <c r="E18" s="11" t="s">
        <v>71</v>
      </c>
      <c r="F18" s="11" t="s">
        <v>72</v>
      </c>
      <c r="G18" s="11" t="s">
        <v>73</v>
      </c>
      <c r="H18" s="11" t="s">
        <v>74</v>
      </c>
      <c r="I18" s="11" t="s">
        <v>75</v>
      </c>
      <c r="J18" s="11" t="s">
        <v>76</v>
      </c>
      <c r="K18" s="11" t="s">
        <v>77</v>
      </c>
      <c r="L18" s="11" t="s">
        <v>78</v>
      </c>
      <c r="M18" s="11" t="s">
        <v>79</v>
      </c>
      <c r="N18" s="11" t="s">
        <v>80</v>
      </c>
      <c r="O18" s="11" t="s">
        <v>81</v>
      </c>
      <c r="P18" s="11" t="s">
        <v>82</v>
      </c>
      <c r="Q18" s="11" t="s">
        <v>83</v>
      </c>
      <c r="R18" s="11" t="s">
        <v>84</v>
      </c>
      <c r="S18" s="11" t="s">
        <v>85</v>
      </c>
      <c r="T18" s="11" t="s">
        <v>86</v>
      </c>
      <c r="U18" s="11" t="s">
        <v>87</v>
      </c>
      <c r="V18" s="11" t="s">
        <v>88</v>
      </c>
      <c r="W18" s="11" t="s">
        <v>89</v>
      </c>
      <c r="X18" s="11" t="s">
        <v>90</v>
      </c>
      <c r="Y18" s="11" t="s">
        <v>91</v>
      </c>
      <c r="Z18" s="11" t="s">
        <v>92</v>
      </c>
      <c r="AA18" s="11" t="s">
        <v>93</v>
      </c>
      <c r="AB18" s="11" t="s">
        <v>94</v>
      </c>
      <c r="AC18" s="11" t="s">
        <v>95</v>
      </c>
      <c r="AD18" s="11" t="s">
        <v>96</v>
      </c>
    </row>
    <row r="19" customFormat="false" ht="15" hidden="false" customHeight="false" outlineLevel="0" collapsed="false">
      <c r="A19" s="6" t="s">
        <v>105</v>
      </c>
      <c r="B19" s="16" t="n">
        <v>204</v>
      </c>
      <c r="C19" s="7" t="n">
        <f aca="false">IFERROR(INDEX(Détail!$E$5:$E$30,MATCH("Cadre de porte double métal",Détail!$B$5:$B$30,0)),0)</f>
        <v>25</v>
      </c>
      <c r="D19" s="7" t="n">
        <f aca="false">IFERROR(INDEX(Détail!$F$5:$F$30,MATCH("Cadre de porte double métal",Détail!$B$5:$B$30,0)),0)</f>
        <v>7</v>
      </c>
      <c r="E19" s="7" t="n">
        <f aca="false">IFERROR(INDEX(Détail!$G$5:$G$30,MATCH("Cadre de porte double métal",Détail!$B$5:$B$30,0)),0)</f>
        <v>0</v>
      </c>
      <c r="F19" s="7" t="n">
        <f aca="false">IFERROR(INDEX(Détail!$H$5:$H$30,MATCH("Cadre de porte double métal",Détail!$B$5:$B$30,0)),0)</f>
        <v>0</v>
      </c>
      <c r="G19" s="7" t="n">
        <f aca="false">IFERROR(INDEX(Détail!$I$5:$I$30,MATCH("Cadre de porte double métal",Détail!$B$5:$B$30,0)),0)</f>
        <v>0</v>
      </c>
      <c r="H19" s="7" t="n">
        <f aca="false">IFERROR(INDEX(Détail!$J$5:$J$30,MATCH("Cadre de porte double métal",Détail!$B$5:$B$30,0)),0)</f>
        <v>0</v>
      </c>
      <c r="I19" s="7" t="n">
        <f aca="false">IFERROR(INDEX(Détail!$K$5:$K$30,MATCH("Cadre de porte double métal",Détail!$B$5:$B$30,0)),0)</f>
        <v>0</v>
      </c>
      <c r="J19" s="7" t="n">
        <f aca="false">IFERROR(INDEX(Détail!$L$5:$L$30,MATCH("Cadre de porte double métal",Détail!$B$5:$B$30,0)),0)</f>
        <v>0</v>
      </c>
      <c r="K19" s="7" t="n">
        <f aca="false">IFERROR(INDEX(Détail!$M$5:$M$30,MATCH("Cadre de porte double métal",Détail!$B$5:$B$30,0)),0)</f>
        <v>0</v>
      </c>
      <c r="L19" s="7" t="n">
        <f aca="false">IFERROR(INDEX(Détail!$N$5:$N$30,MATCH("Cadre de porte double métal",Détail!$B$5:$B$30,0)),0)</f>
        <v>0</v>
      </c>
      <c r="M19" s="7" t="n">
        <f aca="false">IFERROR(INDEX(Détail!$O$5:$O$30,MATCH("Cadre de porte double métal",Détail!$B$5:$B$30,0)),0)</f>
        <v>0</v>
      </c>
      <c r="N19" s="7" t="n">
        <f aca="false">IFERROR(INDEX(Détail!$P$5:$P$30,MATCH("Cadre de porte double métal",Détail!$B$5:$B$30,0)),0)</f>
        <v>0</v>
      </c>
      <c r="O19" s="7" t="n">
        <f aca="false">IFERROR(INDEX(Détail!$Q$5:$Q$30,MATCH("Cadre de porte double métal",Détail!$B$5:$B$30,0)),0)</f>
        <v>0</v>
      </c>
      <c r="P19" s="7" t="n">
        <f aca="false">IFERROR(INDEX(Détail!$R$5:$R$30,MATCH("Cadre de porte double métal",Détail!$B$5:$B$30,0)),0)</f>
        <v>0</v>
      </c>
      <c r="Q19" s="14" t="n">
        <f aca="false">$B19*C19</f>
        <v>5100</v>
      </c>
      <c r="R19" s="14" t="n">
        <f aca="false">$B19*D19</f>
        <v>1428</v>
      </c>
      <c r="S19" s="14" t="n">
        <f aca="false">$B19*E19</f>
        <v>0</v>
      </c>
      <c r="T19" s="14" t="n">
        <f aca="false">$B19*F19</f>
        <v>0</v>
      </c>
      <c r="U19" s="14" t="n">
        <f aca="false">$B19*G19</f>
        <v>0</v>
      </c>
      <c r="V19" s="14" t="n">
        <f aca="false">$B19*H19</f>
        <v>0</v>
      </c>
      <c r="W19" s="14" t="n">
        <f aca="false">$B19*I19</f>
        <v>0</v>
      </c>
      <c r="X19" s="14" t="n">
        <f aca="false">$B19*J19</f>
        <v>0</v>
      </c>
      <c r="Y19" s="14" t="n">
        <f aca="false">$B19*K19</f>
        <v>0</v>
      </c>
      <c r="Z19" s="14" t="n">
        <f aca="false">$B19*L19</f>
        <v>0</v>
      </c>
      <c r="AA19" s="14" t="n">
        <f aca="false">$B19*M19</f>
        <v>0</v>
      </c>
      <c r="AB19" s="14" t="n">
        <f aca="false">$B19*N19</f>
        <v>0</v>
      </c>
      <c r="AC19" s="14" t="n">
        <f aca="false">$B19*O19</f>
        <v>0</v>
      </c>
      <c r="AD19" s="14" t="n">
        <f aca="false">$B19*P19</f>
        <v>0</v>
      </c>
    </row>
    <row r="20" customFormat="false" ht="15" hidden="false" customHeight="false" outlineLevel="0" collapsed="false">
      <c r="A20" s="6" t="s">
        <v>106</v>
      </c>
      <c r="B20" s="16" t="n">
        <v>27</v>
      </c>
      <c r="C20" s="7" t="n">
        <f aca="false">IFERROR(INDEX(Détail!$E$5:$E$30,MATCH("Mur de chaume (gabarit de pose, à démolir)",Détail!$B$5:$B$30,0)),0)</f>
        <v>0</v>
      </c>
      <c r="D20" s="7" t="n">
        <f aca="false">IFERROR(INDEX(Détail!$F$5:$F$30,MATCH("Mur de chaume (gabarit de pose, à démolir)",Détail!$B$5:$B$30,0)),0)</f>
        <v>0</v>
      </c>
      <c r="E20" s="7" t="n">
        <f aca="false">IFERROR(INDEX(Détail!$G$5:$G$30,MATCH("Mur de chaume (gabarit de pose, à démolir)",Détail!$B$5:$B$30,0)),0)</f>
        <v>0</v>
      </c>
      <c r="F20" s="7" t="n">
        <f aca="false">IFERROR(INDEX(Détail!$H$5:$H$30,MATCH("Mur de chaume (gabarit de pose, à démolir)",Détail!$B$5:$B$30,0)),0)</f>
        <v>0</v>
      </c>
      <c r="G20" s="7" t="n">
        <f aca="false">IFERROR(INDEX(Détail!$I$5:$I$30,MATCH("Mur de chaume (gabarit de pose, à démolir)",Détail!$B$5:$B$30,0)),0)</f>
        <v>0</v>
      </c>
      <c r="H20" s="7" t="n">
        <f aca="false">IFERROR(INDEX(Détail!$J$5:$J$30,MATCH("Mur de chaume (gabarit de pose, à démolir)",Détail!$B$5:$B$30,0)),0)</f>
        <v>0</v>
      </c>
      <c r="I20" s="7" t="n">
        <f aca="false">IFERROR(INDEX(Détail!$K$5:$K$30,MATCH("Mur de chaume (gabarit de pose, à démolir)",Détail!$B$5:$B$30,0)),0)</f>
        <v>0</v>
      </c>
      <c r="J20" s="7" t="n">
        <f aca="false">IFERROR(INDEX(Détail!$L$5:$L$30,MATCH("Mur de chaume (gabarit de pose, à démolir)",Détail!$B$5:$B$30,0)),0)</f>
        <v>0</v>
      </c>
      <c r="K20" s="7" t="n">
        <f aca="false">IFERROR(INDEX(Détail!$M$5:$M$30,MATCH("Mur de chaume (gabarit de pose, à démolir)",Détail!$B$5:$B$30,0)),0)</f>
        <v>0</v>
      </c>
      <c r="L20" s="7" t="n">
        <f aca="false">IFERROR(INDEX(Détail!$N$5:$N$30,MATCH("Mur de chaume (gabarit de pose, à démolir)",Détail!$B$5:$B$30,0)),0)</f>
        <v>0</v>
      </c>
      <c r="M20" s="7" t="n">
        <f aca="false">IFERROR(INDEX(Détail!$O$5:$O$30,MATCH("Mur de chaume (gabarit de pose, à démolir)",Détail!$B$5:$B$30,0)),0)</f>
        <v>4</v>
      </c>
      <c r="N20" s="7" t="n">
        <f aca="false">IFERROR(INDEX(Détail!$P$5:$P$30,MATCH("Mur de chaume (gabarit de pose, à démolir)",Détail!$B$5:$B$30,0)),0)</f>
        <v>7</v>
      </c>
      <c r="O20" s="7" t="n">
        <f aca="false">IFERROR(INDEX(Détail!$Q$5:$Q$30,MATCH("Mur de chaume (gabarit de pose, à démolir)",Détail!$B$5:$B$30,0)),0)</f>
        <v>4</v>
      </c>
      <c r="P20" s="7" t="n">
        <f aca="false">IFERROR(INDEX(Détail!$R$5:$R$30,MATCH("Mur de chaume (gabarit de pose, à démolir)",Détail!$B$5:$B$30,0)),0)</f>
        <v>0</v>
      </c>
      <c r="Q20" s="14" t="n">
        <f aca="false">$B20*C20</f>
        <v>0</v>
      </c>
      <c r="R20" s="14" t="n">
        <f aca="false">$B20*D20</f>
        <v>0</v>
      </c>
      <c r="S20" s="14" t="n">
        <f aca="false">$B20*E20</f>
        <v>0</v>
      </c>
      <c r="T20" s="14" t="n">
        <f aca="false">$B20*F20</f>
        <v>0</v>
      </c>
      <c r="U20" s="14" t="n">
        <f aca="false">$B20*G20</f>
        <v>0</v>
      </c>
      <c r="V20" s="14" t="n">
        <f aca="false">$B20*H20</f>
        <v>0</v>
      </c>
      <c r="W20" s="14" t="n">
        <f aca="false">$B20*I20</f>
        <v>0</v>
      </c>
      <c r="X20" s="14" t="n">
        <f aca="false">$B20*J20</f>
        <v>0</v>
      </c>
      <c r="Y20" s="14" t="n">
        <f aca="false">$B20*K20</f>
        <v>0</v>
      </c>
      <c r="Z20" s="14" t="n">
        <f aca="false">$B20*L20</f>
        <v>0</v>
      </c>
      <c r="AA20" s="14" t="n">
        <f aca="false">$B20*M20</f>
        <v>108</v>
      </c>
      <c r="AB20" s="14" t="n">
        <f aca="false">$B20*N20</f>
        <v>189</v>
      </c>
      <c r="AC20" s="14" t="n">
        <f aca="false">$B20*O20</f>
        <v>108</v>
      </c>
      <c r="AD20" s="14" t="n">
        <f aca="false">$B20*P20</f>
        <v>0</v>
      </c>
    </row>
    <row r="21" customFormat="false" ht="15" hidden="false" customHeight="false" outlineLevel="0" collapsed="false">
      <c r="A21" s="8" t="s">
        <v>99</v>
      </c>
      <c r="B21" s="9" t="n">
        <f aca="false">SUM(B19:B20)</f>
        <v>231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9" t="n">
        <f aca="false">SUM(Q19:Q20)</f>
        <v>5100</v>
      </c>
      <c r="R21" s="9" t="n">
        <f aca="false">SUM(R19:R20)</f>
        <v>1428</v>
      </c>
      <c r="S21" s="9" t="n">
        <f aca="false">SUM(S19:S20)</f>
        <v>0</v>
      </c>
      <c r="T21" s="9" t="n">
        <f aca="false">SUM(T19:T20)</f>
        <v>0</v>
      </c>
      <c r="U21" s="9" t="n">
        <f aca="false">SUM(U19:U20)</f>
        <v>0</v>
      </c>
      <c r="V21" s="9" t="n">
        <f aca="false">SUM(V19:V20)</f>
        <v>0</v>
      </c>
      <c r="W21" s="9" t="n">
        <f aca="false">SUM(W19:W20)</f>
        <v>0</v>
      </c>
      <c r="X21" s="9" t="n">
        <f aca="false">SUM(X19:X20)</f>
        <v>0</v>
      </c>
      <c r="Y21" s="9" t="n">
        <f aca="false">SUM(Y19:Y20)</f>
        <v>0</v>
      </c>
      <c r="Z21" s="9" t="n">
        <f aca="false">SUM(Z19:Z20)</f>
        <v>0</v>
      </c>
      <c r="AA21" s="9" t="n">
        <f aca="false">SUM(AA19:AA20)</f>
        <v>108</v>
      </c>
      <c r="AB21" s="9" t="n">
        <f aca="false">SUM(AB19:AB20)</f>
        <v>189</v>
      </c>
      <c r="AC21" s="9" t="n">
        <f aca="false">SUM(AC19:AC20)</f>
        <v>108</v>
      </c>
      <c r="AD21" s="9" t="n">
        <f aca="false">SUM(AD19:AD20)</f>
        <v>0</v>
      </c>
    </row>
    <row r="22" customFormat="false" ht="15" hidden="false" customHeight="false" outlineLevel="0" collapsed="false">
      <c r="A22" s="8" t="s">
        <v>36</v>
      </c>
      <c r="B22" s="9" t="n">
        <f aca="false">SUM(B19:B20)-SUMIF(A19:A20,"* (inventaire)",B19:B20)</f>
        <v>231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9" t="n">
        <f aca="false">SUM(Q19:Q20)-SUMIF(A19:A20,"* (inventaire)",Q19:Q20)</f>
        <v>5100</v>
      </c>
      <c r="R22" s="9" t="n">
        <f aca="false">SUM(R19:R20)-SUMIF(A19:A20,"* (inventaire)",R19:R20)</f>
        <v>1428</v>
      </c>
      <c r="S22" s="9" t="n">
        <f aca="false">SUM(S19:S20)-SUMIF(A19:A20,"* (inventaire)",S19:S20)</f>
        <v>0</v>
      </c>
      <c r="T22" s="9" t="n">
        <f aca="false">SUM(T19:T20)-SUMIF(A19:A20,"* (inventaire)",T19:T20)</f>
        <v>0</v>
      </c>
      <c r="U22" s="9" t="n">
        <f aca="false">SUM(U19:U20)-SUMIF(A19:A20,"* (inventaire)",U19:U20)</f>
        <v>0</v>
      </c>
      <c r="V22" s="9" t="n">
        <f aca="false">SUM(V19:V20)-SUMIF(A19:A20,"* (inventaire)",V19:V20)</f>
        <v>0</v>
      </c>
      <c r="W22" s="9" t="n">
        <f aca="false">SUM(W19:W20)-SUMIF(A19:A20,"* (inventaire)",W19:W20)</f>
        <v>0</v>
      </c>
      <c r="X22" s="9" t="n">
        <f aca="false">SUM(X19:X20)-SUMIF(A19:A20,"* (inventaire)",X19:X20)</f>
        <v>0</v>
      </c>
      <c r="Y22" s="9" t="n">
        <f aca="false">SUM(Y19:Y20)-SUMIF(A19:A20,"* (inventaire)",Y19:Y20)</f>
        <v>0</v>
      </c>
      <c r="Z22" s="9" t="n">
        <f aca="false">SUM(Z19:Z20)-SUMIF(A19:A20,"* (inventaire)",Z19:Z20)</f>
        <v>0</v>
      </c>
      <c r="AA22" s="9" t="n">
        <f aca="false">SUM(AA19:AA20)-SUMIF(A19:A20,"* (inventaire)",AA19:AA20)</f>
        <v>108</v>
      </c>
      <c r="AB22" s="9" t="n">
        <f aca="false">SUM(AB19:AB20)-SUMIF(A19:A20,"* (inventaire)",AB19:AB20)</f>
        <v>189</v>
      </c>
      <c r="AC22" s="9" t="n">
        <f aca="false">SUM(AC19:AC20)-SUMIF(A19:A20,"* (inventaire)",AC19:AC20)</f>
        <v>108</v>
      </c>
      <c r="AD22" s="9" t="n">
        <f aca="false">SUM(AD19:AD20)-SUMIF(A19:A20,"* (inventaire)",AD19:AD20)</f>
        <v>0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5" hidden="false" customHeight="false" outlineLevel="0" collapsed="false">
      <c r="A24" s="15" t="s">
        <v>107</v>
      </c>
      <c r="B24" s="2"/>
      <c r="C24" s="3" t="s">
        <v>108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30" hidden="false" customHeight="true" outlineLevel="0" collapsed="false">
      <c r="A25" s="11" t="s">
        <v>67</v>
      </c>
      <c r="B25" s="11" t="s">
        <v>68</v>
      </c>
      <c r="C25" s="11" t="s">
        <v>69</v>
      </c>
      <c r="D25" s="11" t="s">
        <v>70</v>
      </c>
      <c r="E25" s="11" t="s">
        <v>71</v>
      </c>
      <c r="F25" s="11" t="s">
        <v>72</v>
      </c>
      <c r="G25" s="11" t="s">
        <v>73</v>
      </c>
      <c r="H25" s="11" t="s">
        <v>74</v>
      </c>
      <c r="I25" s="11" t="s">
        <v>75</v>
      </c>
      <c r="J25" s="11" t="s">
        <v>76</v>
      </c>
      <c r="K25" s="11" t="s">
        <v>77</v>
      </c>
      <c r="L25" s="11" t="s">
        <v>78</v>
      </c>
      <c r="M25" s="11" t="s">
        <v>79</v>
      </c>
      <c r="N25" s="11" t="s">
        <v>80</v>
      </c>
      <c r="O25" s="11" t="s">
        <v>81</v>
      </c>
      <c r="P25" s="11" t="s">
        <v>82</v>
      </c>
      <c r="Q25" s="11" t="s">
        <v>83</v>
      </c>
      <c r="R25" s="11" t="s">
        <v>84</v>
      </c>
      <c r="S25" s="11" t="s">
        <v>85</v>
      </c>
      <c r="T25" s="11" t="s">
        <v>86</v>
      </c>
      <c r="U25" s="11" t="s">
        <v>87</v>
      </c>
      <c r="V25" s="11" t="s">
        <v>88</v>
      </c>
      <c r="W25" s="11" t="s">
        <v>89</v>
      </c>
      <c r="X25" s="11" t="s">
        <v>90</v>
      </c>
      <c r="Y25" s="11" t="s">
        <v>91</v>
      </c>
      <c r="Z25" s="11" t="s">
        <v>92</v>
      </c>
      <c r="AA25" s="11" t="s">
        <v>93</v>
      </c>
      <c r="AB25" s="11" t="s">
        <v>94</v>
      </c>
      <c r="AC25" s="11" t="s">
        <v>95</v>
      </c>
      <c r="AD25" s="11" t="s">
        <v>96</v>
      </c>
    </row>
    <row r="26" customFormat="false" ht="15" hidden="false" customHeight="false" outlineLevel="0" collapsed="false">
      <c r="A26" s="6" t="s">
        <v>109</v>
      </c>
      <c r="B26" s="16" t="n">
        <v>388</v>
      </c>
      <c r="C26" s="7" t="n">
        <f aca="false">IFERROR(INDEX(Détail!$E$5:$E$30,MATCH("Rampe inclinée métal (Sloped Railing)",Détail!$B$5:$B$30,0)),0)</f>
        <v>12</v>
      </c>
      <c r="D26" s="7" t="n">
        <f aca="false">IFERROR(INDEX(Détail!$F$5:$F$30,MATCH("Rampe inclinée métal (Sloped Railing)",Détail!$B$5:$B$30,0)),0)</f>
        <v>3</v>
      </c>
      <c r="E26" s="7" t="n">
        <f aca="false">IFERROR(INDEX(Détail!$G$5:$G$30,MATCH("Rampe inclinée métal (Sloped Railing)",Détail!$B$5:$B$30,0)),0)</f>
        <v>0</v>
      </c>
      <c r="F26" s="7" t="n">
        <f aca="false">IFERROR(INDEX(Détail!$H$5:$H$30,MATCH("Rampe inclinée métal (Sloped Railing)",Détail!$B$5:$B$30,0)),0)</f>
        <v>0</v>
      </c>
      <c r="G26" s="7" t="n">
        <f aca="false">IFERROR(INDEX(Détail!$I$5:$I$30,MATCH("Rampe inclinée métal (Sloped Railing)",Détail!$B$5:$B$30,0)),0)</f>
        <v>0</v>
      </c>
      <c r="H26" s="7" t="n">
        <f aca="false">IFERROR(INDEX(Détail!$J$5:$J$30,MATCH("Rampe inclinée métal (Sloped Railing)",Détail!$B$5:$B$30,0)),0)</f>
        <v>0</v>
      </c>
      <c r="I26" s="7" t="n">
        <f aca="false">IFERROR(INDEX(Détail!$K$5:$K$30,MATCH("Rampe inclinée métal (Sloped Railing)",Détail!$B$5:$B$30,0)),0)</f>
        <v>0</v>
      </c>
      <c r="J26" s="7" t="n">
        <f aca="false">IFERROR(INDEX(Détail!$L$5:$L$30,MATCH("Rampe inclinée métal (Sloped Railing)",Détail!$B$5:$B$30,0)),0)</f>
        <v>0</v>
      </c>
      <c r="K26" s="7" t="n">
        <f aca="false">IFERROR(INDEX(Détail!$M$5:$M$30,MATCH("Rampe inclinée métal (Sloped Railing)",Détail!$B$5:$B$30,0)),0)</f>
        <v>0</v>
      </c>
      <c r="L26" s="7" t="n">
        <f aca="false">IFERROR(INDEX(Détail!$N$5:$N$30,MATCH("Rampe inclinée métal (Sloped Railing)",Détail!$B$5:$B$30,0)),0)</f>
        <v>0</v>
      </c>
      <c r="M26" s="7" t="n">
        <f aca="false">IFERROR(INDEX(Détail!$O$5:$O$30,MATCH("Rampe inclinée métal (Sloped Railing)",Détail!$B$5:$B$30,0)),0)</f>
        <v>0</v>
      </c>
      <c r="N26" s="7" t="n">
        <f aca="false">IFERROR(INDEX(Détail!$P$5:$P$30,MATCH("Rampe inclinée métal (Sloped Railing)",Détail!$B$5:$B$30,0)),0)</f>
        <v>0</v>
      </c>
      <c r="O26" s="7" t="n">
        <f aca="false">IFERROR(INDEX(Détail!$Q$5:$Q$30,MATCH("Rampe inclinée métal (Sloped Railing)",Détail!$B$5:$B$30,0)),0)</f>
        <v>0</v>
      </c>
      <c r="P26" s="7" t="n">
        <f aca="false">IFERROR(INDEX(Détail!$R$5:$R$30,MATCH("Rampe inclinée métal (Sloped Railing)",Détail!$B$5:$B$30,0)),0)</f>
        <v>0</v>
      </c>
      <c r="Q26" s="14" t="n">
        <f aca="false">$B26*C26</f>
        <v>4656</v>
      </c>
      <c r="R26" s="14" t="n">
        <f aca="false">$B26*D26</f>
        <v>1164</v>
      </c>
      <c r="S26" s="14" t="n">
        <f aca="false">$B26*E26</f>
        <v>0</v>
      </c>
      <c r="T26" s="14" t="n">
        <f aca="false">$B26*F26</f>
        <v>0</v>
      </c>
      <c r="U26" s="14" t="n">
        <f aca="false">$B26*G26</f>
        <v>0</v>
      </c>
      <c r="V26" s="14" t="n">
        <f aca="false">$B26*H26</f>
        <v>0</v>
      </c>
      <c r="W26" s="14" t="n">
        <f aca="false">$B26*I26</f>
        <v>0</v>
      </c>
      <c r="X26" s="14" t="n">
        <f aca="false">$B26*J26</f>
        <v>0</v>
      </c>
      <c r="Y26" s="14" t="n">
        <f aca="false">$B26*K26</f>
        <v>0</v>
      </c>
      <c r="Z26" s="14" t="n">
        <f aca="false">$B26*L26</f>
        <v>0</v>
      </c>
      <c r="AA26" s="14" t="n">
        <f aca="false">$B26*M26</f>
        <v>0</v>
      </c>
      <c r="AB26" s="14" t="n">
        <f aca="false">$B26*N26</f>
        <v>0</v>
      </c>
      <c r="AC26" s="14" t="n">
        <f aca="false">$B26*O26</f>
        <v>0</v>
      </c>
      <c r="AD26" s="14" t="n">
        <f aca="false">$B26*P26</f>
        <v>0</v>
      </c>
    </row>
    <row r="27" customFormat="false" ht="15" hidden="false" customHeight="false" outlineLevel="0" collapsed="false">
      <c r="A27" s="6" t="s">
        <v>110</v>
      </c>
      <c r="B27" s="16" t="n">
        <v>210</v>
      </c>
      <c r="C27" s="7" t="n">
        <f aca="false">IFERROR(INDEX(Détail!$E$5:$E$30,MATCH("Pilier fin métal (Thin Pillar)",Détail!$B$5:$B$30,0)),0)</f>
        <v>13</v>
      </c>
      <c r="D27" s="7" t="n">
        <f aca="false">IFERROR(INDEX(Détail!$F$5:$F$30,MATCH("Pilier fin métal (Thin Pillar)",Détail!$B$5:$B$30,0)),0)</f>
        <v>4</v>
      </c>
      <c r="E27" s="7" t="n">
        <f aca="false">IFERROR(INDEX(Détail!$G$5:$G$30,MATCH("Pilier fin métal (Thin Pillar)",Détail!$B$5:$B$30,0)),0)</f>
        <v>0</v>
      </c>
      <c r="F27" s="7" t="n">
        <f aca="false">IFERROR(INDEX(Détail!$H$5:$H$30,MATCH("Pilier fin métal (Thin Pillar)",Détail!$B$5:$B$30,0)),0)</f>
        <v>0</v>
      </c>
      <c r="G27" s="7" t="n">
        <f aca="false">IFERROR(INDEX(Détail!$I$5:$I$30,MATCH("Pilier fin métal (Thin Pillar)",Détail!$B$5:$B$30,0)),0)</f>
        <v>0</v>
      </c>
      <c r="H27" s="7" t="n">
        <f aca="false">IFERROR(INDEX(Détail!$J$5:$J$30,MATCH("Pilier fin métal (Thin Pillar)",Détail!$B$5:$B$30,0)),0)</f>
        <v>0</v>
      </c>
      <c r="I27" s="7" t="n">
        <f aca="false">IFERROR(INDEX(Détail!$K$5:$K$30,MATCH("Pilier fin métal (Thin Pillar)",Détail!$B$5:$B$30,0)),0)</f>
        <v>0</v>
      </c>
      <c r="J27" s="7" t="n">
        <f aca="false">IFERROR(INDEX(Détail!$L$5:$L$30,MATCH("Pilier fin métal (Thin Pillar)",Détail!$B$5:$B$30,0)),0)</f>
        <v>0</v>
      </c>
      <c r="K27" s="7" t="n">
        <f aca="false">IFERROR(INDEX(Détail!$M$5:$M$30,MATCH("Pilier fin métal (Thin Pillar)",Détail!$B$5:$B$30,0)),0)</f>
        <v>0</v>
      </c>
      <c r="L27" s="7" t="n">
        <f aca="false">IFERROR(INDEX(Détail!$N$5:$N$30,MATCH("Pilier fin métal (Thin Pillar)",Détail!$B$5:$B$30,0)),0)</f>
        <v>0</v>
      </c>
      <c r="M27" s="7" t="n">
        <f aca="false">IFERROR(INDEX(Détail!$O$5:$O$30,MATCH("Pilier fin métal (Thin Pillar)",Détail!$B$5:$B$30,0)),0)</f>
        <v>0</v>
      </c>
      <c r="N27" s="7" t="n">
        <f aca="false">IFERROR(INDEX(Détail!$P$5:$P$30,MATCH("Pilier fin métal (Thin Pillar)",Détail!$B$5:$B$30,0)),0)</f>
        <v>0</v>
      </c>
      <c r="O27" s="7" t="n">
        <f aca="false">IFERROR(INDEX(Détail!$Q$5:$Q$30,MATCH("Pilier fin métal (Thin Pillar)",Détail!$B$5:$B$30,0)),0)</f>
        <v>0</v>
      </c>
      <c r="P27" s="7" t="n">
        <f aca="false">IFERROR(INDEX(Détail!$R$5:$R$30,MATCH("Pilier fin métal (Thin Pillar)",Détail!$B$5:$B$30,0)),0)</f>
        <v>0</v>
      </c>
      <c r="Q27" s="14" t="n">
        <f aca="false">$B27*C27</f>
        <v>2730</v>
      </c>
      <c r="R27" s="14" t="n">
        <f aca="false">$B27*D27</f>
        <v>840</v>
      </c>
      <c r="S27" s="14" t="n">
        <f aca="false">$B27*E27</f>
        <v>0</v>
      </c>
      <c r="T27" s="14" t="n">
        <f aca="false">$B27*F27</f>
        <v>0</v>
      </c>
      <c r="U27" s="14" t="n">
        <f aca="false">$B27*G27</f>
        <v>0</v>
      </c>
      <c r="V27" s="14" t="n">
        <f aca="false">$B27*H27</f>
        <v>0</v>
      </c>
      <c r="W27" s="14" t="n">
        <f aca="false">$B27*I27</f>
        <v>0</v>
      </c>
      <c r="X27" s="14" t="n">
        <f aca="false">$B27*J27</f>
        <v>0</v>
      </c>
      <c r="Y27" s="14" t="n">
        <f aca="false">$B27*K27</f>
        <v>0</v>
      </c>
      <c r="Z27" s="14" t="n">
        <f aca="false">$B27*L27</f>
        <v>0</v>
      </c>
      <c r="AA27" s="14" t="n">
        <f aca="false">$B27*M27</f>
        <v>0</v>
      </c>
      <c r="AB27" s="14" t="n">
        <f aca="false">$B27*N27</f>
        <v>0</v>
      </c>
      <c r="AC27" s="14" t="n">
        <f aca="false">$B27*O27</f>
        <v>0</v>
      </c>
      <c r="AD27" s="14" t="n">
        <f aca="false">$B27*P27</f>
        <v>0</v>
      </c>
    </row>
    <row r="28" customFormat="false" ht="15" hidden="false" customHeight="false" outlineLevel="0" collapsed="false">
      <c r="A28" s="6" t="s">
        <v>105</v>
      </c>
      <c r="B28" s="16" t="n">
        <v>33</v>
      </c>
      <c r="C28" s="7" t="n">
        <f aca="false">IFERROR(INDEX(Détail!$E$5:$E$30,MATCH("Cadre de porte double métal",Détail!$B$5:$B$30,0)),0)</f>
        <v>25</v>
      </c>
      <c r="D28" s="7" t="n">
        <f aca="false">IFERROR(INDEX(Détail!$F$5:$F$30,MATCH("Cadre de porte double métal",Détail!$B$5:$B$30,0)),0)</f>
        <v>7</v>
      </c>
      <c r="E28" s="7" t="n">
        <f aca="false">IFERROR(INDEX(Détail!$G$5:$G$30,MATCH("Cadre de porte double métal",Détail!$B$5:$B$30,0)),0)</f>
        <v>0</v>
      </c>
      <c r="F28" s="7" t="n">
        <f aca="false">IFERROR(INDEX(Détail!$H$5:$H$30,MATCH("Cadre de porte double métal",Détail!$B$5:$B$30,0)),0)</f>
        <v>0</v>
      </c>
      <c r="G28" s="7" t="n">
        <f aca="false">IFERROR(INDEX(Détail!$I$5:$I$30,MATCH("Cadre de porte double métal",Détail!$B$5:$B$30,0)),0)</f>
        <v>0</v>
      </c>
      <c r="H28" s="7" t="n">
        <f aca="false">IFERROR(INDEX(Détail!$J$5:$J$30,MATCH("Cadre de porte double métal",Détail!$B$5:$B$30,0)),0)</f>
        <v>0</v>
      </c>
      <c r="I28" s="7" t="n">
        <f aca="false">IFERROR(INDEX(Détail!$K$5:$K$30,MATCH("Cadre de porte double métal",Détail!$B$5:$B$30,0)),0)</f>
        <v>0</v>
      </c>
      <c r="J28" s="7" t="n">
        <f aca="false">IFERROR(INDEX(Détail!$L$5:$L$30,MATCH("Cadre de porte double métal",Détail!$B$5:$B$30,0)),0)</f>
        <v>0</v>
      </c>
      <c r="K28" s="7" t="n">
        <f aca="false">IFERROR(INDEX(Détail!$M$5:$M$30,MATCH("Cadre de porte double métal",Détail!$B$5:$B$30,0)),0)</f>
        <v>0</v>
      </c>
      <c r="L28" s="7" t="n">
        <f aca="false">IFERROR(INDEX(Détail!$N$5:$N$30,MATCH("Cadre de porte double métal",Détail!$B$5:$B$30,0)),0)</f>
        <v>0</v>
      </c>
      <c r="M28" s="7" t="n">
        <f aca="false">IFERROR(INDEX(Détail!$O$5:$O$30,MATCH("Cadre de porte double métal",Détail!$B$5:$B$30,0)),0)</f>
        <v>0</v>
      </c>
      <c r="N28" s="7" t="n">
        <f aca="false">IFERROR(INDEX(Détail!$P$5:$P$30,MATCH("Cadre de porte double métal",Détail!$B$5:$B$30,0)),0)</f>
        <v>0</v>
      </c>
      <c r="O28" s="7" t="n">
        <f aca="false">IFERROR(INDEX(Détail!$Q$5:$Q$30,MATCH("Cadre de porte double métal",Détail!$B$5:$B$30,0)),0)</f>
        <v>0</v>
      </c>
      <c r="P28" s="7" t="n">
        <f aca="false">IFERROR(INDEX(Détail!$R$5:$R$30,MATCH("Cadre de porte double métal",Détail!$B$5:$B$30,0)),0)</f>
        <v>0</v>
      </c>
      <c r="Q28" s="14" t="n">
        <f aca="false">$B28*C28</f>
        <v>825</v>
      </c>
      <c r="R28" s="14" t="n">
        <f aca="false">$B28*D28</f>
        <v>231</v>
      </c>
      <c r="S28" s="14" t="n">
        <f aca="false">$B28*E28</f>
        <v>0</v>
      </c>
      <c r="T28" s="14" t="n">
        <f aca="false">$B28*F28</f>
        <v>0</v>
      </c>
      <c r="U28" s="14" t="n">
        <f aca="false">$B28*G28</f>
        <v>0</v>
      </c>
      <c r="V28" s="14" t="n">
        <f aca="false">$B28*H28</f>
        <v>0</v>
      </c>
      <c r="W28" s="14" t="n">
        <f aca="false">$B28*I28</f>
        <v>0</v>
      </c>
      <c r="X28" s="14" t="n">
        <f aca="false">$B28*J28</f>
        <v>0</v>
      </c>
      <c r="Y28" s="14" t="n">
        <f aca="false">$B28*K28</f>
        <v>0</v>
      </c>
      <c r="Z28" s="14" t="n">
        <f aca="false">$B28*L28</f>
        <v>0</v>
      </c>
      <c r="AA28" s="14" t="n">
        <f aca="false">$B28*M28</f>
        <v>0</v>
      </c>
      <c r="AB28" s="14" t="n">
        <f aca="false">$B28*N28</f>
        <v>0</v>
      </c>
      <c r="AC28" s="14" t="n">
        <f aca="false">$B28*O28</f>
        <v>0</v>
      </c>
      <c r="AD28" s="14" t="n">
        <f aca="false">$B28*P28</f>
        <v>0</v>
      </c>
    </row>
    <row r="29" customFormat="false" ht="15" hidden="false" customHeight="false" outlineLevel="0" collapsed="false">
      <c r="A29" s="6" t="s">
        <v>106</v>
      </c>
      <c r="B29" s="16" t="n">
        <v>3</v>
      </c>
      <c r="C29" s="7" t="n">
        <f aca="false">IFERROR(INDEX(Détail!$E$5:$E$30,MATCH("Mur de chaume (gabarit de pose, à démolir)",Détail!$B$5:$B$30,0)),0)</f>
        <v>0</v>
      </c>
      <c r="D29" s="7" t="n">
        <f aca="false">IFERROR(INDEX(Détail!$F$5:$F$30,MATCH("Mur de chaume (gabarit de pose, à démolir)",Détail!$B$5:$B$30,0)),0)</f>
        <v>0</v>
      </c>
      <c r="E29" s="7" t="n">
        <f aca="false">IFERROR(INDEX(Détail!$G$5:$G$30,MATCH("Mur de chaume (gabarit de pose, à démolir)",Détail!$B$5:$B$30,0)),0)</f>
        <v>0</v>
      </c>
      <c r="F29" s="7" t="n">
        <f aca="false">IFERROR(INDEX(Détail!$H$5:$H$30,MATCH("Mur de chaume (gabarit de pose, à démolir)",Détail!$B$5:$B$30,0)),0)</f>
        <v>0</v>
      </c>
      <c r="G29" s="7" t="n">
        <f aca="false">IFERROR(INDEX(Détail!$I$5:$I$30,MATCH("Mur de chaume (gabarit de pose, à démolir)",Détail!$B$5:$B$30,0)),0)</f>
        <v>0</v>
      </c>
      <c r="H29" s="7" t="n">
        <f aca="false">IFERROR(INDEX(Détail!$J$5:$J$30,MATCH("Mur de chaume (gabarit de pose, à démolir)",Détail!$B$5:$B$30,0)),0)</f>
        <v>0</v>
      </c>
      <c r="I29" s="7" t="n">
        <f aca="false">IFERROR(INDEX(Détail!$K$5:$K$30,MATCH("Mur de chaume (gabarit de pose, à démolir)",Détail!$B$5:$B$30,0)),0)</f>
        <v>0</v>
      </c>
      <c r="J29" s="7" t="n">
        <f aca="false">IFERROR(INDEX(Détail!$L$5:$L$30,MATCH("Mur de chaume (gabarit de pose, à démolir)",Détail!$B$5:$B$30,0)),0)</f>
        <v>0</v>
      </c>
      <c r="K29" s="7" t="n">
        <f aca="false">IFERROR(INDEX(Détail!$M$5:$M$30,MATCH("Mur de chaume (gabarit de pose, à démolir)",Détail!$B$5:$B$30,0)),0)</f>
        <v>0</v>
      </c>
      <c r="L29" s="7" t="n">
        <f aca="false">IFERROR(INDEX(Détail!$N$5:$N$30,MATCH("Mur de chaume (gabarit de pose, à démolir)",Détail!$B$5:$B$30,0)),0)</f>
        <v>0</v>
      </c>
      <c r="M29" s="7" t="n">
        <f aca="false">IFERROR(INDEX(Détail!$O$5:$O$30,MATCH("Mur de chaume (gabarit de pose, à démolir)",Détail!$B$5:$B$30,0)),0)</f>
        <v>4</v>
      </c>
      <c r="N29" s="7" t="n">
        <f aca="false">IFERROR(INDEX(Détail!$P$5:$P$30,MATCH("Mur de chaume (gabarit de pose, à démolir)",Détail!$B$5:$B$30,0)),0)</f>
        <v>7</v>
      </c>
      <c r="O29" s="7" t="n">
        <f aca="false">IFERROR(INDEX(Détail!$Q$5:$Q$30,MATCH("Mur de chaume (gabarit de pose, à démolir)",Détail!$B$5:$B$30,0)),0)</f>
        <v>4</v>
      </c>
      <c r="P29" s="7" t="n">
        <f aca="false">IFERROR(INDEX(Détail!$R$5:$R$30,MATCH("Mur de chaume (gabarit de pose, à démolir)",Détail!$B$5:$B$30,0)),0)</f>
        <v>0</v>
      </c>
      <c r="Q29" s="14" t="n">
        <f aca="false">$B29*C29</f>
        <v>0</v>
      </c>
      <c r="R29" s="14" t="n">
        <f aca="false">$B29*D29</f>
        <v>0</v>
      </c>
      <c r="S29" s="14" t="n">
        <f aca="false">$B29*E29</f>
        <v>0</v>
      </c>
      <c r="T29" s="14" t="n">
        <f aca="false">$B29*F29</f>
        <v>0</v>
      </c>
      <c r="U29" s="14" t="n">
        <f aca="false">$B29*G29</f>
        <v>0</v>
      </c>
      <c r="V29" s="14" t="n">
        <f aca="false">$B29*H29</f>
        <v>0</v>
      </c>
      <c r="W29" s="14" t="n">
        <f aca="false">$B29*I29</f>
        <v>0</v>
      </c>
      <c r="X29" s="14" t="n">
        <f aca="false">$B29*J29</f>
        <v>0</v>
      </c>
      <c r="Y29" s="14" t="n">
        <f aca="false">$B29*K29</f>
        <v>0</v>
      </c>
      <c r="Z29" s="14" t="n">
        <f aca="false">$B29*L29</f>
        <v>0</v>
      </c>
      <c r="AA29" s="14" t="n">
        <f aca="false">$B29*M29</f>
        <v>12</v>
      </c>
      <c r="AB29" s="14" t="n">
        <f aca="false">$B29*N29</f>
        <v>21</v>
      </c>
      <c r="AC29" s="14" t="n">
        <f aca="false">$B29*O29</f>
        <v>12</v>
      </c>
      <c r="AD29" s="14" t="n">
        <f aca="false">$B29*P29</f>
        <v>0</v>
      </c>
    </row>
    <row r="30" customFormat="false" ht="15" hidden="false" customHeight="false" outlineLevel="0" collapsed="false">
      <c r="A30" s="8" t="s">
        <v>99</v>
      </c>
      <c r="B30" s="9" t="n">
        <f aca="false">SUM(B26:B29)</f>
        <v>634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9" t="n">
        <f aca="false">SUM(Q26:Q29)</f>
        <v>8211</v>
      </c>
      <c r="R30" s="9" t="n">
        <f aca="false">SUM(R26:R29)</f>
        <v>2235</v>
      </c>
      <c r="S30" s="9" t="n">
        <f aca="false">SUM(S26:S29)</f>
        <v>0</v>
      </c>
      <c r="T30" s="9" t="n">
        <f aca="false">SUM(T26:T29)</f>
        <v>0</v>
      </c>
      <c r="U30" s="9" t="n">
        <f aca="false">SUM(U26:U29)</f>
        <v>0</v>
      </c>
      <c r="V30" s="9" t="n">
        <f aca="false">SUM(V26:V29)</f>
        <v>0</v>
      </c>
      <c r="W30" s="9" t="n">
        <f aca="false">SUM(W26:W29)</f>
        <v>0</v>
      </c>
      <c r="X30" s="9" t="n">
        <f aca="false">SUM(X26:X29)</f>
        <v>0</v>
      </c>
      <c r="Y30" s="9" t="n">
        <f aca="false">SUM(Y26:Y29)</f>
        <v>0</v>
      </c>
      <c r="Z30" s="9" t="n">
        <f aca="false">SUM(Z26:Z29)</f>
        <v>0</v>
      </c>
      <c r="AA30" s="9" t="n">
        <f aca="false">SUM(AA26:AA29)</f>
        <v>12</v>
      </c>
      <c r="AB30" s="9" t="n">
        <f aca="false">SUM(AB26:AB29)</f>
        <v>21</v>
      </c>
      <c r="AC30" s="9" t="n">
        <f aca="false">SUM(AC26:AC29)</f>
        <v>12</v>
      </c>
      <c r="AD30" s="9" t="n">
        <f aca="false">SUM(AD26:AD29)</f>
        <v>0</v>
      </c>
    </row>
    <row r="31" customFormat="false" ht="15" hidden="false" customHeight="false" outlineLevel="0" collapsed="false">
      <c r="A31" s="8" t="s">
        <v>36</v>
      </c>
      <c r="B31" s="9" t="n">
        <f aca="false">SUM(B26:B29)-SUMIF(A26:A29,"* (inventaire)",B26:B29)</f>
        <v>634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9" t="n">
        <f aca="false">SUM(Q26:Q29)-SUMIF(A26:A29,"* (inventaire)",Q26:Q29)</f>
        <v>8211</v>
      </c>
      <c r="R31" s="9" t="n">
        <f aca="false">SUM(R26:R29)-SUMIF(A26:A29,"* (inventaire)",R26:R29)</f>
        <v>2235</v>
      </c>
      <c r="S31" s="9" t="n">
        <f aca="false">SUM(S26:S29)-SUMIF(A26:A29,"* (inventaire)",S26:S29)</f>
        <v>0</v>
      </c>
      <c r="T31" s="9" t="n">
        <f aca="false">SUM(T26:T29)-SUMIF(A26:A29,"* (inventaire)",T26:T29)</f>
        <v>0</v>
      </c>
      <c r="U31" s="9" t="n">
        <f aca="false">SUM(U26:U29)-SUMIF(A26:A29,"* (inventaire)",U26:U29)</f>
        <v>0</v>
      </c>
      <c r="V31" s="9" t="n">
        <f aca="false">SUM(V26:V29)-SUMIF(A26:A29,"* (inventaire)",V26:V29)</f>
        <v>0</v>
      </c>
      <c r="W31" s="9" t="n">
        <f aca="false">SUM(W26:W29)-SUMIF(A26:A29,"* (inventaire)",W26:W29)</f>
        <v>0</v>
      </c>
      <c r="X31" s="9" t="n">
        <f aca="false">SUM(X26:X29)-SUMIF(A26:A29,"* (inventaire)",X26:X29)</f>
        <v>0</v>
      </c>
      <c r="Y31" s="9" t="n">
        <f aca="false">SUM(Y26:Y29)-SUMIF(A26:A29,"* (inventaire)",Y26:Y29)</f>
        <v>0</v>
      </c>
      <c r="Z31" s="9" t="n">
        <f aca="false">SUM(Z26:Z29)-SUMIF(A26:A29,"* (inventaire)",Z26:Z29)</f>
        <v>0</v>
      </c>
      <c r="AA31" s="9" t="n">
        <f aca="false">SUM(AA26:AA29)-SUMIF(A26:A29,"* (inventaire)",AA26:AA29)</f>
        <v>12</v>
      </c>
      <c r="AB31" s="9" t="n">
        <f aca="false">SUM(AB26:AB29)-SUMIF(A26:A29,"* (inventaire)",AB26:AB29)</f>
        <v>21</v>
      </c>
      <c r="AC31" s="9" t="n">
        <f aca="false">SUM(AC26:AC29)-SUMIF(A26:A29,"* (inventaire)",AC26:AC29)</f>
        <v>12</v>
      </c>
      <c r="AD31" s="9" t="n">
        <f aca="false">SUM(AD26:AD29)-SUMIF(A26:A29,"* (inventaire)",AD26:AD29)</f>
        <v>0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5" hidden="false" customHeight="false" outlineLevel="0" collapsed="false">
      <c r="A33" s="15" t="s">
        <v>111</v>
      </c>
      <c r="B33" s="2"/>
      <c r="C33" s="3" t="s">
        <v>112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30" hidden="false" customHeight="true" outlineLevel="0" collapsed="false">
      <c r="A34" s="11" t="s">
        <v>67</v>
      </c>
      <c r="B34" s="11" t="s">
        <v>68</v>
      </c>
      <c r="C34" s="11" t="s">
        <v>69</v>
      </c>
      <c r="D34" s="11" t="s">
        <v>70</v>
      </c>
      <c r="E34" s="11" t="s">
        <v>71</v>
      </c>
      <c r="F34" s="11" t="s">
        <v>72</v>
      </c>
      <c r="G34" s="11" t="s">
        <v>73</v>
      </c>
      <c r="H34" s="11" t="s">
        <v>74</v>
      </c>
      <c r="I34" s="11" t="s">
        <v>75</v>
      </c>
      <c r="J34" s="11" t="s">
        <v>76</v>
      </c>
      <c r="K34" s="11" t="s">
        <v>77</v>
      </c>
      <c r="L34" s="11" t="s">
        <v>78</v>
      </c>
      <c r="M34" s="11" t="s">
        <v>79</v>
      </c>
      <c r="N34" s="11" t="s">
        <v>80</v>
      </c>
      <c r="O34" s="11" t="s">
        <v>81</v>
      </c>
      <c r="P34" s="11" t="s">
        <v>82</v>
      </c>
      <c r="Q34" s="11" t="s">
        <v>83</v>
      </c>
      <c r="R34" s="11" t="s">
        <v>84</v>
      </c>
      <c r="S34" s="11" t="s">
        <v>85</v>
      </c>
      <c r="T34" s="11" t="s">
        <v>86</v>
      </c>
      <c r="U34" s="11" t="s">
        <v>87</v>
      </c>
      <c r="V34" s="11" t="s">
        <v>88</v>
      </c>
      <c r="W34" s="11" t="s">
        <v>89</v>
      </c>
      <c r="X34" s="11" t="s">
        <v>90</v>
      </c>
      <c r="Y34" s="11" t="s">
        <v>91</v>
      </c>
      <c r="Z34" s="11" t="s">
        <v>92</v>
      </c>
      <c r="AA34" s="11" t="s">
        <v>93</v>
      </c>
      <c r="AB34" s="11" t="s">
        <v>94</v>
      </c>
      <c r="AC34" s="11" t="s">
        <v>95</v>
      </c>
      <c r="AD34" s="11" t="s">
        <v>96</v>
      </c>
    </row>
    <row r="35" customFormat="false" ht="15" hidden="false" customHeight="false" outlineLevel="0" collapsed="false">
      <c r="A35" s="6" t="s">
        <v>113</v>
      </c>
      <c r="B35" s="16" t="n">
        <v>463</v>
      </c>
      <c r="C35" s="7" t="n">
        <f aca="false">IFERROR(INDEX(Détail!$E$5:$E$30,MATCH("Mur métal",Détail!$B$5:$B$30,0)),0)</f>
        <v>25</v>
      </c>
      <c r="D35" s="7" t="n">
        <f aca="false">IFERROR(INDEX(Détail!$F$5:$F$30,MATCH("Mur métal",Détail!$B$5:$B$30,0)),0)</f>
        <v>7</v>
      </c>
      <c r="E35" s="7" t="n">
        <f aca="false">IFERROR(INDEX(Détail!$G$5:$G$30,MATCH("Mur métal",Détail!$B$5:$B$30,0)),0)</f>
        <v>0</v>
      </c>
      <c r="F35" s="7" t="n">
        <f aca="false">IFERROR(INDEX(Détail!$H$5:$H$30,MATCH("Mur métal",Détail!$B$5:$B$30,0)),0)</f>
        <v>0</v>
      </c>
      <c r="G35" s="7" t="n">
        <f aca="false">IFERROR(INDEX(Détail!$I$5:$I$30,MATCH("Mur métal",Détail!$B$5:$B$30,0)),0)</f>
        <v>0</v>
      </c>
      <c r="H35" s="7" t="n">
        <f aca="false">IFERROR(INDEX(Détail!$J$5:$J$30,MATCH("Mur métal",Détail!$B$5:$B$30,0)),0)</f>
        <v>0</v>
      </c>
      <c r="I35" s="7" t="n">
        <f aca="false">IFERROR(INDEX(Détail!$K$5:$K$30,MATCH("Mur métal",Détail!$B$5:$B$30,0)),0)</f>
        <v>0</v>
      </c>
      <c r="J35" s="7" t="n">
        <f aca="false">IFERROR(INDEX(Détail!$L$5:$L$30,MATCH("Mur métal",Détail!$B$5:$B$30,0)),0)</f>
        <v>0</v>
      </c>
      <c r="K35" s="7" t="n">
        <f aca="false">IFERROR(INDEX(Détail!$M$5:$M$30,MATCH("Mur métal",Détail!$B$5:$B$30,0)),0)</f>
        <v>0</v>
      </c>
      <c r="L35" s="7" t="n">
        <f aca="false">IFERROR(INDEX(Détail!$N$5:$N$30,MATCH("Mur métal",Détail!$B$5:$B$30,0)),0)</f>
        <v>0</v>
      </c>
      <c r="M35" s="7" t="n">
        <f aca="false">IFERROR(INDEX(Détail!$O$5:$O$30,MATCH("Mur métal",Détail!$B$5:$B$30,0)),0)</f>
        <v>0</v>
      </c>
      <c r="N35" s="7" t="n">
        <f aca="false">IFERROR(INDEX(Détail!$P$5:$P$30,MATCH("Mur métal",Détail!$B$5:$B$30,0)),0)</f>
        <v>0</v>
      </c>
      <c r="O35" s="7" t="n">
        <f aca="false">IFERROR(INDEX(Détail!$Q$5:$Q$30,MATCH("Mur métal",Détail!$B$5:$B$30,0)),0)</f>
        <v>0</v>
      </c>
      <c r="P35" s="7" t="n">
        <f aca="false">IFERROR(INDEX(Détail!$R$5:$R$30,MATCH("Mur métal",Détail!$B$5:$B$30,0)),0)</f>
        <v>0</v>
      </c>
      <c r="Q35" s="14" t="n">
        <f aca="false">$B35*C35</f>
        <v>11575</v>
      </c>
      <c r="R35" s="14" t="n">
        <f aca="false">$B35*D35</f>
        <v>3241</v>
      </c>
      <c r="S35" s="14" t="n">
        <f aca="false">$B35*E35</f>
        <v>0</v>
      </c>
      <c r="T35" s="14" t="n">
        <f aca="false">$B35*F35</f>
        <v>0</v>
      </c>
      <c r="U35" s="14" t="n">
        <f aca="false">$B35*G35</f>
        <v>0</v>
      </c>
      <c r="V35" s="14" t="n">
        <f aca="false">$B35*H35</f>
        <v>0</v>
      </c>
      <c r="W35" s="14" t="n">
        <f aca="false">$B35*I35</f>
        <v>0</v>
      </c>
      <c r="X35" s="14" t="n">
        <f aca="false">$B35*J35</f>
        <v>0</v>
      </c>
      <c r="Y35" s="14" t="n">
        <f aca="false">$B35*K35</f>
        <v>0</v>
      </c>
      <c r="Z35" s="14" t="n">
        <f aca="false">$B35*L35</f>
        <v>0</v>
      </c>
      <c r="AA35" s="14" t="n">
        <f aca="false">$B35*M35</f>
        <v>0</v>
      </c>
      <c r="AB35" s="14" t="n">
        <f aca="false">$B35*N35</f>
        <v>0</v>
      </c>
      <c r="AC35" s="14" t="n">
        <f aca="false">$B35*O35</f>
        <v>0</v>
      </c>
      <c r="AD35" s="14" t="n">
        <f aca="false">$B35*P35</f>
        <v>0</v>
      </c>
    </row>
    <row r="36" customFormat="false" ht="15" hidden="false" customHeight="false" outlineLevel="0" collapsed="false">
      <c r="A36" s="6" t="s">
        <v>102</v>
      </c>
      <c r="B36" s="16" t="n">
        <v>216</v>
      </c>
      <c r="C36" s="7" t="n">
        <f aca="false">IFERROR(INDEX(Détail!$E$5:$E$30,MATCH("Pilier métal",Détail!$B$5:$B$30,0)),0)</f>
        <v>25</v>
      </c>
      <c r="D36" s="7" t="n">
        <f aca="false">IFERROR(INDEX(Détail!$F$5:$F$30,MATCH("Pilier métal",Détail!$B$5:$B$30,0)),0)</f>
        <v>7</v>
      </c>
      <c r="E36" s="7" t="n">
        <f aca="false">IFERROR(INDEX(Détail!$G$5:$G$30,MATCH("Pilier métal",Détail!$B$5:$B$30,0)),0)</f>
        <v>0</v>
      </c>
      <c r="F36" s="7" t="n">
        <f aca="false">IFERROR(INDEX(Détail!$H$5:$H$30,MATCH("Pilier métal",Détail!$B$5:$B$30,0)),0)</f>
        <v>0</v>
      </c>
      <c r="G36" s="7" t="n">
        <f aca="false">IFERROR(INDEX(Détail!$I$5:$I$30,MATCH("Pilier métal",Détail!$B$5:$B$30,0)),0)</f>
        <v>0</v>
      </c>
      <c r="H36" s="7" t="n">
        <f aca="false">IFERROR(INDEX(Détail!$J$5:$J$30,MATCH("Pilier métal",Détail!$B$5:$B$30,0)),0)</f>
        <v>0</v>
      </c>
      <c r="I36" s="7" t="n">
        <f aca="false">IFERROR(INDEX(Détail!$K$5:$K$30,MATCH("Pilier métal",Détail!$B$5:$B$30,0)),0)</f>
        <v>0</v>
      </c>
      <c r="J36" s="7" t="n">
        <f aca="false">IFERROR(INDEX(Détail!$L$5:$L$30,MATCH("Pilier métal",Détail!$B$5:$B$30,0)),0)</f>
        <v>0</v>
      </c>
      <c r="K36" s="7" t="n">
        <f aca="false">IFERROR(INDEX(Détail!$M$5:$M$30,MATCH("Pilier métal",Détail!$B$5:$B$30,0)),0)</f>
        <v>0</v>
      </c>
      <c r="L36" s="7" t="n">
        <f aca="false">IFERROR(INDEX(Détail!$N$5:$N$30,MATCH("Pilier métal",Détail!$B$5:$B$30,0)),0)</f>
        <v>0</v>
      </c>
      <c r="M36" s="7" t="n">
        <f aca="false">IFERROR(INDEX(Détail!$O$5:$O$30,MATCH("Pilier métal",Détail!$B$5:$B$30,0)),0)</f>
        <v>0</v>
      </c>
      <c r="N36" s="7" t="n">
        <f aca="false">IFERROR(INDEX(Détail!$P$5:$P$30,MATCH("Pilier métal",Détail!$B$5:$B$30,0)),0)</f>
        <v>0</v>
      </c>
      <c r="O36" s="7" t="n">
        <f aca="false">IFERROR(INDEX(Détail!$Q$5:$Q$30,MATCH("Pilier métal",Détail!$B$5:$B$30,0)),0)</f>
        <v>0</v>
      </c>
      <c r="P36" s="7" t="n">
        <f aca="false">IFERROR(INDEX(Détail!$R$5:$R$30,MATCH("Pilier métal",Détail!$B$5:$B$30,0)),0)</f>
        <v>0</v>
      </c>
      <c r="Q36" s="14" t="n">
        <f aca="false">$B36*C36</f>
        <v>5400</v>
      </c>
      <c r="R36" s="14" t="n">
        <f aca="false">$B36*D36</f>
        <v>1512</v>
      </c>
      <c r="S36" s="14" t="n">
        <f aca="false">$B36*E36</f>
        <v>0</v>
      </c>
      <c r="T36" s="14" t="n">
        <f aca="false">$B36*F36</f>
        <v>0</v>
      </c>
      <c r="U36" s="14" t="n">
        <f aca="false">$B36*G36</f>
        <v>0</v>
      </c>
      <c r="V36" s="14" t="n">
        <f aca="false">$B36*H36</f>
        <v>0</v>
      </c>
      <c r="W36" s="14" t="n">
        <f aca="false">$B36*I36</f>
        <v>0</v>
      </c>
      <c r="X36" s="14" t="n">
        <f aca="false">$B36*J36</f>
        <v>0</v>
      </c>
      <c r="Y36" s="14" t="n">
        <f aca="false">$B36*K36</f>
        <v>0</v>
      </c>
      <c r="Z36" s="14" t="n">
        <f aca="false">$B36*L36</f>
        <v>0</v>
      </c>
      <c r="AA36" s="14" t="n">
        <f aca="false">$B36*M36</f>
        <v>0</v>
      </c>
      <c r="AB36" s="14" t="n">
        <f aca="false">$B36*N36</f>
        <v>0</v>
      </c>
      <c r="AC36" s="14" t="n">
        <f aca="false">$B36*O36</f>
        <v>0</v>
      </c>
      <c r="AD36" s="14" t="n">
        <f aca="false">$B36*P36</f>
        <v>0</v>
      </c>
    </row>
    <row r="37" customFormat="false" ht="15" hidden="false" customHeight="false" outlineLevel="0" collapsed="false">
      <c r="A37" s="6" t="s">
        <v>114</v>
      </c>
      <c r="B37" s="16" t="n">
        <v>170</v>
      </c>
      <c r="C37" s="7" t="n">
        <f aca="false">IFERROR(INDEX(Détail!$E$5:$E$30,MATCH("Plafond triangle métal",Détail!$B$5:$B$30,0)),0)</f>
        <v>18</v>
      </c>
      <c r="D37" s="7" t="n">
        <f aca="false">IFERROR(INDEX(Détail!$F$5:$F$30,MATCH("Plafond triangle métal",Détail!$B$5:$B$30,0)),0)</f>
        <v>5</v>
      </c>
      <c r="E37" s="7" t="n">
        <f aca="false">IFERROR(INDEX(Détail!$G$5:$G$30,MATCH("Plafond triangle métal",Détail!$B$5:$B$30,0)),0)</f>
        <v>0</v>
      </c>
      <c r="F37" s="7" t="n">
        <f aca="false">IFERROR(INDEX(Détail!$H$5:$H$30,MATCH("Plafond triangle métal",Détail!$B$5:$B$30,0)),0)</f>
        <v>0</v>
      </c>
      <c r="G37" s="7" t="n">
        <f aca="false">IFERROR(INDEX(Détail!$I$5:$I$30,MATCH("Plafond triangle métal",Détail!$B$5:$B$30,0)),0)</f>
        <v>0</v>
      </c>
      <c r="H37" s="7" t="n">
        <f aca="false">IFERROR(INDEX(Détail!$J$5:$J$30,MATCH("Plafond triangle métal",Détail!$B$5:$B$30,0)),0)</f>
        <v>0</v>
      </c>
      <c r="I37" s="7" t="n">
        <f aca="false">IFERROR(INDEX(Détail!$K$5:$K$30,MATCH("Plafond triangle métal",Détail!$B$5:$B$30,0)),0)</f>
        <v>0</v>
      </c>
      <c r="J37" s="7" t="n">
        <f aca="false">IFERROR(INDEX(Détail!$L$5:$L$30,MATCH("Plafond triangle métal",Détail!$B$5:$B$30,0)),0)</f>
        <v>0</v>
      </c>
      <c r="K37" s="7" t="n">
        <f aca="false">IFERROR(INDEX(Détail!$M$5:$M$30,MATCH("Plafond triangle métal",Détail!$B$5:$B$30,0)),0)</f>
        <v>0</v>
      </c>
      <c r="L37" s="7" t="n">
        <f aca="false">IFERROR(INDEX(Détail!$N$5:$N$30,MATCH("Plafond triangle métal",Détail!$B$5:$B$30,0)),0)</f>
        <v>0</v>
      </c>
      <c r="M37" s="7" t="n">
        <f aca="false">IFERROR(INDEX(Détail!$O$5:$O$30,MATCH("Plafond triangle métal",Détail!$B$5:$B$30,0)),0)</f>
        <v>0</v>
      </c>
      <c r="N37" s="7" t="n">
        <f aca="false">IFERROR(INDEX(Détail!$P$5:$P$30,MATCH("Plafond triangle métal",Détail!$B$5:$B$30,0)),0)</f>
        <v>0</v>
      </c>
      <c r="O37" s="7" t="n">
        <f aca="false">IFERROR(INDEX(Détail!$Q$5:$Q$30,MATCH("Plafond triangle métal",Détail!$B$5:$B$30,0)),0)</f>
        <v>0</v>
      </c>
      <c r="P37" s="7" t="n">
        <f aca="false">IFERROR(INDEX(Détail!$R$5:$R$30,MATCH("Plafond triangle métal",Détail!$B$5:$B$30,0)),0)</f>
        <v>0</v>
      </c>
      <c r="Q37" s="14" t="n">
        <f aca="false">$B37*C37</f>
        <v>3060</v>
      </c>
      <c r="R37" s="14" t="n">
        <f aca="false">$B37*D37</f>
        <v>850</v>
      </c>
      <c r="S37" s="14" t="n">
        <f aca="false">$B37*E37</f>
        <v>0</v>
      </c>
      <c r="T37" s="14" t="n">
        <f aca="false">$B37*F37</f>
        <v>0</v>
      </c>
      <c r="U37" s="14" t="n">
        <f aca="false">$B37*G37</f>
        <v>0</v>
      </c>
      <c r="V37" s="14" t="n">
        <f aca="false">$B37*H37</f>
        <v>0</v>
      </c>
      <c r="W37" s="14" t="n">
        <f aca="false">$B37*I37</f>
        <v>0</v>
      </c>
      <c r="X37" s="14" t="n">
        <f aca="false">$B37*J37</f>
        <v>0</v>
      </c>
      <c r="Y37" s="14" t="n">
        <f aca="false">$B37*K37</f>
        <v>0</v>
      </c>
      <c r="Z37" s="14" t="n">
        <f aca="false">$B37*L37</f>
        <v>0</v>
      </c>
      <c r="AA37" s="14" t="n">
        <f aca="false">$B37*M37</f>
        <v>0</v>
      </c>
      <c r="AB37" s="14" t="n">
        <f aca="false">$B37*N37</f>
        <v>0</v>
      </c>
      <c r="AC37" s="14" t="n">
        <f aca="false">$B37*O37</f>
        <v>0</v>
      </c>
      <c r="AD37" s="14" t="n">
        <f aca="false">$B37*P37</f>
        <v>0</v>
      </c>
    </row>
    <row r="38" customFormat="false" ht="15" hidden="false" customHeight="false" outlineLevel="0" collapsed="false">
      <c r="A38" s="6" t="s">
        <v>115</v>
      </c>
      <c r="B38" s="16" t="n">
        <v>89</v>
      </c>
      <c r="C38" s="7" t="n">
        <f aca="false">IFERROR(INDEX(Détail!$E$5:$E$30,MATCH("Plafond métal",Détail!$B$5:$B$30,0)),0)</f>
        <v>35</v>
      </c>
      <c r="D38" s="7" t="n">
        <f aca="false">IFERROR(INDEX(Détail!$F$5:$F$30,MATCH("Plafond métal",Détail!$B$5:$B$30,0)),0)</f>
        <v>10</v>
      </c>
      <c r="E38" s="7" t="n">
        <f aca="false">IFERROR(INDEX(Détail!$G$5:$G$30,MATCH("Plafond métal",Détail!$B$5:$B$30,0)),0)</f>
        <v>0</v>
      </c>
      <c r="F38" s="7" t="n">
        <f aca="false">IFERROR(INDEX(Détail!$H$5:$H$30,MATCH("Plafond métal",Détail!$B$5:$B$30,0)),0)</f>
        <v>0</v>
      </c>
      <c r="G38" s="7" t="n">
        <f aca="false">IFERROR(INDEX(Détail!$I$5:$I$30,MATCH("Plafond métal",Détail!$B$5:$B$30,0)),0)</f>
        <v>0</v>
      </c>
      <c r="H38" s="7" t="n">
        <f aca="false">IFERROR(INDEX(Détail!$J$5:$J$30,MATCH("Plafond métal",Détail!$B$5:$B$30,0)),0)</f>
        <v>0</v>
      </c>
      <c r="I38" s="7" t="n">
        <f aca="false">IFERROR(INDEX(Détail!$K$5:$K$30,MATCH("Plafond métal",Détail!$B$5:$B$30,0)),0)</f>
        <v>0</v>
      </c>
      <c r="J38" s="7" t="n">
        <f aca="false">IFERROR(INDEX(Détail!$L$5:$L$30,MATCH("Plafond métal",Détail!$B$5:$B$30,0)),0)</f>
        <v>0</v>
      </c>
      <c r="K38" s="7" t="n">
        <f aca="false">IFERROR(INDEX(Détail!$M$5:$M$30,MATCH("Plafond métal",Détail!$B$5:$B$30,0)),0)</f>
        <v>0</v>
      </c>
      <c r="L38" s="7" t="n">
        <f aca="false">IFERROR(INDEX(Détail!$N$5:$N$30,MATCH("Plafond métal",Détail!$B$5:$B$30,0)),0)</f>
        <v>0</v>
      </c>
      <c r="M38" s="7" t="n">
        <f aca="false">IFERROR(INDEX(Détail!$O$5:$O$30,MATCH("Plafond métal",Détail!$B$5:$B$30,0)),0)</f>
        <v>0</v>
      </c>
      <c r="N38" s="7" t="n">
        <f aca="false">IFERROR(INDEX(Détail!$P$5:$P$30,MATCH("Plafond métal",Détail!$B$5:$B$30,0)),0)</f>
        <v>0</v>
      </c>
      <c r="O38" s="7" t="n">
        <f aca="false">IFERROR(INDEX(Détail!$Q$5:$Q$30,MATCH("Plafond métal",Détail!$B$5:$B$30,0)),0)</f>
        <v>0</v>
      </c>
      <c r="P38" s="7" t="n">
        <f aca="false">IFERROR(INDEX(Détail!$R$5:$R$30,MATCH("Plafond métal",Détail!$B$5:$B$30,0)),0)</f>
        <v>0</v>
      </c>
      <c r="Q38" s="14" t="n">
        <f aca="false">$B38*C38</f>
        <v>3115</v>
      </c>
      <c r="R38" s="14" t="n">
        <f aca="false">$B38*D38</f>
        <v>890</v>
      </c>
      <c r="S38" s="14" t="n">
        <f aca="false">$B38*E38</f>
        <v>0</v>
      </c>
      <c r="T38" s="14" t="n">
        <f aca="false">$B38*F38</f>
        <v>0</v>
      </c>
      <c r="U38" s="14" t="n">
        <f aca="false">$B38*G38</f>
        <v>0</v>
      </c>
      <c r="V38" s="14" t="n">
        <f aca="false">$B38*H38</f>
        <v>0</v>
      </c>
      <c r="W38" s="14" t="n">
        <f aca="false">$B38*I38</f>
        <v>0</v>
      </c>
      <c r="X38" s="14" t="n">
        <f aca="false">$B38*J38</f>
        <v>0</v>
      </c>
      <c r="Y38" s="14" t="n">
        <f aca="false">$B38*K38</f>
        <v>0</v>
      </c>
      <c r="Z38" s="14" t="n">
        <f aca="false">$B38*L38</f>
        <v>0</v>
      </c>
      <c r="AA38" s="14" t="n">
        <f aca="false">$B38*M38</f>
        <v>0</v>
      </c>
      <c r="AB38" s="14" t="n">
        <f aca="false">$B38*N38</f>
        <v>0</v>
      </c>
      <c r="AC38" s="14" t="n">
        <f aca="false">$B38*O38</f>
        <v>0</v>
      </c>
      <c r="AD38" s="14" t="n">
        <f aca="false">$B38*P38</f>
        <v>0</v>
      </c>
    </row>
    <row r="39" customFormat="false" ht="15" hidden="false" customHeight="false" outlineLevel="0" collapsed="false">
      <c r="A39" s="6" t="s">
        <v>105</v>
      </c>
      <c r="B39" s="16" t="n">
        <v>21</v>
      </c>
      <c r="C39" s="7" t="n">
        <f aca="false">IFERROR(INDEX(Détail!$E$5:$E$30,MATCH("Cadre de porte double métal",Détail!$B$5:$B$30,0)),0)</f>
        <v>25</v>
      </c>
      <c r="D39" s="7" t="n">
        <f aca="false">IFERROR(INDEX(Détail!$F$5:$F$30,MATCH("Cadre de porte double métal",Détail!$B$5:$B$30,0)),0)</f>
        <v>7</v>
      </c>
      <c r="E39" s="7" t="n">
        <f aca="false">IFERROR(INDEX(Détail!$G$5:$G$30,MATCH("Cadre de porte double métal",Détail!$B$5:$B$30,0)),0)</f>
        <v>0</v>
      </c>
      <c r="F39" s="7" t="n">
        <f aca="false">IFERROR(INDEX(Détail!$H$5:$H$30,MATCH("Cadre de porte double métal",Détail!$B$5:$B$30,0)),0)</f>
        <v>0</v>
      </c>
      <c r="G39" s="7" t="n">
        <f aca="false">IFERROR(INDEX(Détail!$I$5:$I$30,MATCH("Cadre de porte double métal",Détail!$B$5:$B$30,0)),0)</f>
        <v>0</v>
      </c>
      <c r="H39" s="7" t="n">
        <f aca="false">IFERROR(INDEX(Détail!$J$5:$J$30,MATCH("Cadre de porte double métal",Détail!$B$5:$B$30,0)),0)</f>
        <v>0</v>
      </c>
      <c r="I39" s="7" t="n">
        <f aca="false">IFERROR(INDEX(Détail!$K$5:$K$30,MATCH("Cadre de porte double métal",Détail!$B$5:$B$30,0)),0)</f>
        <v>0</v>
      </c>
      <c r="J39" s="7" t="n">
        <f aca="false">IFERROR(INDEX(Détail!$L$5:$L$30,MATCH("Cadre de porte double métal",Détail!$B$5:$B$30,0)),0)</f>
        <v>0</v>
      </c>
      <c r="K39" s="7" t="n">
        <f aca="false">IFERROR(INDEX(Détail!$M$5:$M$30,MATCH("Cadre de porte double métal",Détail!$B$5:$B$30,0)),0)</f>
        <v>0</v>
      </c>
      <c r="L39" s="7" t="n">
        <f aca="false">IFERROR(INDEX(Détail!$N$5:$N$30,MATCH("Cadre de porte double métal",Détail!$B$5:$B$30,0)),0)</f>
        <v>0</v>
      </c>
      <c r="M39" s="7" t="n">
        <f aca="false">IFERROR(INDEX(Détail!$O$5:$O$30,MATCH("Cadre de porte double métal",Détail!$B$5:$B$30,0)),0)</f>
        <v>0</v>
      </c>
      <c r="N39" s="7" t="n">
        <f aca="false">IFERROR(INDEX(Détail!$P$5:$P$30,MATCH("Cadre de porte double métal",Détail!$B$5:$B$30,0)),0)</f>
        <v>0</v>
      </c>
      <c r="O39" s="7" t="n">
        <f aca="false">IFERROR(INDEX(Détail!$Q$5:$Q$30,MATCH("Cadre de porte double métal",Détail!$B$5:$B$30,0)),0)</f>
        <v>0</v>
      </c>
      <c r="P39" s="7" t="n">
        <f aca="false">IFERROR(INDEX(Détail!$R$5:$R$30,MATCH("Cadre de porte double métal",Détail!$B$5:$B$30,0)),0)</f>
        <v>0</v>
      </c>
      <c r="Q39" s="14" t="n">
        <f aca="false">$B39*C39</f>
        <v>525</v>
      </c>
      <c r="R39" s="14" t="n">
        <f aca="false">$B39*D39</f>
        <v>147</v>
      </c>
      <c r="S39" s="14" t="n">
        <f aca="false">$B39*E39</f>
        <v>0</v>
      </c>
      <c r="T39" s="14" t="n">
        <f aca="false">$B39*F39</f>
        <v>0</v>
      </c>
      <c r="U39" s="14" t="n">
        <f aca="false">$B39*G39</f>
        <v>0</v>
      </c>
      <c r="V39" s="14" t="n">
        <f aca="false">$B39*H39</f>
        <v>0</v>
      </c>
      <c r="W39" s="14" t="n">
        <f aca="false">$B39*I39</f>
        <v>0</v>
      </c>
      <c r="X39" s="14" t="n">
        <f aca="false">$B39*J39</f>
        <v>0</v>
      </c>
      <c r="Y39" s="14" t="n">
        <f aca="false">$B39*K39</f>
        <v>0</v>
      </c>
      <c r="Z39" s="14" t="n">
        <f aca="false">$B39*L39</f>
        <v>0</v>
      </c>
      <c r="AA39" s="14" t="n">
        <f aca="false">$B39*M39</f>
        <v>0</v>
      </c>
      <c r="AB39" s="14" t="n">
        <f aca="false">$B39*N39</f>
        <v>0</v>
      </c>
      <c r="AC39" s="14" t="n">
        <f aca="false">$B39*O39</f>
        <v>0</v>
      </c>
      <c r="AD39" s="14" t="n">
        <f aca="false">$B39*P39</f>
        <v>0</v>
      </c>
    </row>
    <row r="40" customFormat="false" ht="15" hidden="false" customHeight="false" outlineLevel="0" collapsed="false">
      <c r="A40" s="6" t="s">
        <v>106</v>
      </c>
      <c r="B40" s="16" t="n">
        <v>16</v>
      </c>
      <c r="C40" s="7" t="n">
        <f aca="false">IFERROR(INDEX(Détail!$E$5:$E$30,MATCH("Mur de chaume (gabarit de pose, à démolir)",Détail!$B$5:$B$30,0)),0)</f>
        <v>0</v>
      </c>
      <c r="D40" s="7" t="n">
        <f aca="false">IFERROR(INDEX(Détail!$F$5:$F$30,MATCH("Mur de chaume (gabarit de pose, à démolir)",Détail!$B$5:$B$30,0)),0)</f>
        <v>0</v>
      </c>
      <c r="E40" s="7" t="n">
        <f aca="false">IFERROR(INDEX(Détail!$G$5:$G$30,MATCH("Mur de chaume (gabarit de pose, à démolir)",Détail!$B$5:$B$30,0)),0)</f>
        <v>0</v>
      </c>
      <c r="F40" s="7" t="n">
        <f aca="false">IFERROR(INDEX(Détail!$H$5:$H$30,MATCH("Mur de chaume (gabarit de pose, à démolir)",Détail!$B$5:$B$30,0)),0)</f>
        <v>0</v>
      </c>
      <c r="G40" s="7" t="n">
        <f aca="false">IFERROR(INDEX(Détail!$I$5:$I$30,MATCH("Mur de chaume (gabarit de pose, à démolir)",Détail!$B$5:$B$30,0)),0)</f>
        <v>0</v>
      </c>
      <c r="H40" s="7" t="n">
        <f aca="false">IFERROR(INDEX(Détail!$J$5:$J$30,MATCH("Mur de chaume (gabarit de pose, à démolir)",Détail!$B$5:$B$30,0)),0)</f>
        <v>0</v>
      </c>
      <c r="I40" s="7" t="n">
        <f aca="false">IFERROR(INDEX(Détail!$K$5:$K$30,MATCH("Mur de chaume (gabarit de pose, à démolir)",Détail!$B$5:$B$30,0)),0)</f>
        <v>0</v>
      </c>
      <c r="J40" s="7" t="n">
        <f aca="false">IFERROR(INDEX(Détail!$L$5:$L$30,MATCH("Mur de chaume (gabarit de pose, à démolir)",Détail!$B$5:$B$30,0)),0)</f>
        <v>0</v>
      </c>
      <c r="K40" s="7" t="n">
        <f aca="false">IFERROR(INDEX(Détail!$M$5:$M$30,MATCH("Mur de chaume (gabarit de pose, à démolir)",Détail!$B$5:$B$30,0)),0)</f>
        <v>0</v>
      </c>
      <c r="L40" s="7" t="n">
        <f aca="false">IFERROR(INDEX(Détail!$N$5:$N$30,MATCH("Mur de chaume (gabarit de pose, à démolir)",Détail!$B$5:$B$30,0)),0)</f>
        <v>0</v>
      </c>
      <c r="M40" s="7" t="n">
        <f aca="false">IFERROR(INDEX(Détail!$O$5:$O$30,MATCH("Mur de chaume (gabarit de pose, à démolir)",Détail!$B$5:$B$30,0)),0)</f>
        <v>4</v>
      </c>
      <c r="N40" s="7" t="n">
        <f aca="false">IFERROR(INDEX(Détail!$P$5:$P$30,MATCH("Mur de chaume (gabarit de pose, à démolir)",Détail!$B$5:$B$30,0)),0)</f>
        <v>7</v>
      </c>
      <c r="O40" s="7" t="n">
        <f aca="false">IFERROR(INDEX(Détail!$Q$5:$Q$30,MATCH("Mur de chaume (gabarit de pose, à démolir)",Détail!$B$5:$B$30,0)),0)</f>
        <v>4</v>
      </c>
      <c r="P40" s="7" t="n">
        <f aca="false">IFERROR(INDEX(Détail!$R$5:$R$30,MATCH("Mur de chaume (gabarit de pose, à démolir)",Détail!$B$5:$B$30,0)),0)</f>
        <v>0</v>
      </c>
      <c r="Q40" s="14" t="n">
        <f aca="false">$B40*C40</f>
        <v>0</v>
      </c>
      <c r="R40" s="14" t="n">
        <f aca="false">$B40*D40</f>
        <v>0</v>
      </c>
      <c r="S40" s="14" t="n">
        <f aca="false">$B40*E40</f>
        <v>0</v>
      </c>
      <c r="T40" s="14" t="n">
        <f aca="false">$B40*F40</f>
        <v>0</v>
      </c>
      <c r="U40" s="14" t="n">
        <f aca="false">$B40*G40</f>
        <v>0</v>
      </c>
      <c r="V40" s="14" t="n">
        <f aca="false">$B40*H40</f>
        <v>0</v>
      </c>
      <c r="W40" s="14" t="n">
        <f aca="false">$B40*I40</f>
        <v>0</v>
      </c>
      <c r="X40" s="14" t="n">
        <f aca="false">$B40*J40</f>
        <v>0</v>
      </c>
      <c r="Y40" s="14" t="n">
        <f aca="false">$B40*K40</f>
        <v>0</v>
      </c>
      <c r="Z40" s="14" t="n">
        <f aca="false">$B40*L40</f>
        <v>0</v>
      </c>
      <c r="AA40" s="14" t="n">
        <f aca="false">$B40*M40</f>
        <v>64</v>
      </c>
      <c r="AB40" s="14" t="n">
        <f aca="false">$B40*N40</f>
        <v>112</v>
      </c>
      <c r="AC40" s="14" t="n">
        <f aca="false">$B40*O40</f>
        <v>64</v>
      </c>
      <c r="AD40" s="14" t="n">
        <f aca="false">$B40*P40</f>
        <v>0</v>
      </c>
    </row>
    <row r="41" customFormat="false" ht="15" hidden="false" customHeight="false" outlineLevel="0" collapsed="false">
      <c r="A41" s="6" t="s">
        <v>116</v>
      </c>
      <c r="B41" s="16" t="n">
        <v>6</v>
      </c>
      <c r="C41" s="7" t="n">
        <f aca="false">IFERROR(INDEX(Détail!$E$5:$E$30,MATCH("Escalier métal",Détail!$B$5:$B$30,0)),0)</f>
        <v>50</v>
      </c>
      <c r="D41" s="7" t="n">
        <f aca="false">IFERROR(INDEX(Détail!$F$5:$F$30,MATCH("Escalier métal",Détail!$B$5:$B$30,0)),0)</f>
        <v>15</v>
      </c>
      <c r="E41" s="7" t="n">
        <f aca="false">IFERROR(INDEX(Détail!$G$5:$G$30,MATCH("Escalier métal",Détail!$B$5:$B$30,0)),0)</f>
        <v>0</v>
      </c>
      <c r="F41" s="7" t="n">
        <f aca="false">IFERROR(INDEX(Détail!$H$5:$H$30,MATCH("Escalier métal",Détail!$B$5:$B$30,0)),0)</f>
        <v>0</v>
      </c>
      <c r="G41" s="7" t="n">
        <f aca="false">IFERROR(INDEX(Détail!$I$5:$I$30,MATCH("Escalier métal",Détail!$B$5:$B$30,0)),0)</f>
        <v>0</v>
      </c>
      <c r="H41" s="7" t="n">
        <f aca="false">IFERROR(INDEX(Détail!$J$5:$J$30,MATCH("Escalier métal",Détail!$B$5:$B$30,0)),0)</f>
        <v>0</v>
      </c>
      <c r="I41" s="7" t="n">
        <f aca="false">IFERROR(INDEX(Détail!$K$5:$K$30,MATCH("Escalier métal",Détail!$B$5:$B$30,0)),0)</f>
        <v>0</v>
      </c>
      <c r="J41" s="7" t="n">
        <f aca="false">IFERROR(INDEX(Détail!$L$5:$L$30,MATCH("Escalier métal",Détail!$B$5:$B$30,0)),0)</f>
        <v>0</v>
      </c>
      <c r="K41" s="7" t="n">
        <f aca="false">IFERROR(INDEX(Détail!$M$5:$M$30,MATCH("Escalier métal",Détail!$B$5:$B$30,0)),0)</f>
        <v>0</v>
      </c>
      <c r="L41" s="7" t="n">
        <f aca="false">IFERROR(INDEX(Détail!$N$5:$N$30,MATCH("Escalier métal",Détail!$B$5:$B$30,0)),0)</f>
        <v>0</v>
      </c>
      <c r="M41" s="7" t="n">
        <f aca="false">IFERROR(INDEX(Détail!$O$5:$O$30,MATCH("Escalier métal",Détail!$B$5:$B$30,0)),0)</f>
        <v>0</v>
      </c>
      <c r="N41" s="7" t="n">
        <f aca="false">IFERROR(INDEX(Détail!$P$5:$P$30,MATCH("Escalier métal",Détail!$B$5:$B$30,0)),0)</f>
        <v>0</v>
      </c>
      <c r="O41" s="7" t="n">
        <f aca="false">IFERROR(INDEX(Détail!$Q$5:$Q$30,MATCH("Escalier métal",Détail!$B$5:$B$30,0)),0)</f>
        <v>0</v>
      </c>
      <c r="P41" s="7" t="n">
        <f aca="false">IFERROR(INDEX(Détail!$R$5:$R$30,MATCH("Escalier métal",Détail!$B$5:$B$30,0)),0)</f>
        <v>0</v>
      </c>
      <c r="Q41" s="14" t="n">
        <f aca="false">$B41*C41</f>
        <v>300</v>
      </c>
      <c r="R41" s="14" t="n">
        <f aca="false">$B41*D41</f>
        <v>90</v>
      </c>
      <c r="S41" s="14" t="n">
        <f aca="false">$B41*E41</f>
        <v>0</v>
      </c>
      <c r="T41" s="14" t="n">
        <f aca="false">$B41*F41</f>
        <v>0</v>
      </c>
      <c r="U41" s="14" t="n">
        <f aca="false">$B41*G41</f>
        <v>0</v>
      </c>
      <c r="V41" s="14" t="n">
        <f aca="false">$B41*H41</f>
        <v>0</v>
      </c>
      <c r="W41" s="14" t="n">
        <f aca="false">$B41*I41</f>
        <v>0</v>
      </c>
      <c r="X41" s="14" t="n">
        <f aca="false">$B41*J41</f>
        <v>0</v>
      </c>
      <c r="Y41" s="14" t="n">
        <f aca="false">$B41*K41</f>
        <v>0</v>
      </c>
      <c r="Z41" s="14" t="n">
        <f aca="false">$B41*L41</f>
        <v>0</v>
      </c>
      <c r="AA41" s="14" t="n">
        <f aca="false">$B41*M41</f>
        <v>0</v>
      </c>
      <c r="AB41" s="14" t="n">
        <f aca="false">$B41*N41</f>
        <v>0</v>
      </c>
      <c r="AC41" s="14" t="n">
        <f aca="false">$B41*O41</f>
        <v>0</v>
      </c>
      <c r="AD41" s="14" t="n">
        <f aca="false">$B41*P41</f>
        <v>0</v>
      </c>
    </row>
    <row r="42" customFormat="false" ht="15" hidden="false" customHeight="false" outlineLevel="0" collapsed="false">
      <c r="A42" s="8" t="s">
        <v>99</v>
      </c>
      <c r="B42" s="9" t="n">
        <f aca="false">SUM(B35:B41)</f>
        <v>981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9" t="n">
        <f aca="false">SUM(Q35:Q41)</f>
        <v>23975</v>
      </c>
      <c r="R42" s="9" t="n">
        <f aca="false">SUM(R35:R41)</f>
        <v>6730</v>
      </c>
      <c r="S42" s="9" t="n">
        <f aca="false">SUM(S35:S41)</f>
        <v>0</v>
      </c>
      <c r="T42" s="9" t="n">
        <f aca="false">SUM(T35:T41)</f>
        <v>0</v>
      </c>
      <c r="U42" s="9" t="n">
        <f aca="false">SUM(U35:U41)</f>
        <v>0</v>
      </c>
      <c r="V42" s="9" t="n">
        <f aca="false">SUM(V35:V41)</f>
        <v>0</v>
      </c>
      <c r="W42" s="9" t="n">
        <f aca="false">SUM(W35:W41)</f>
        <v>0</v>
      </c>
      <c r="X42" s="9" t="n">
        <f aca="false">SUM(X35:X41)</f>
        <v>0</v>
      </c>
      <c r="Y42" s="9" t="n">
        <f aca="false">SUM(Y35:Y41)</f>
        <v>0</v>
      </c>
      <c r="Z42" s="9" t="n">
        <f aca="false">SUM(Z35:Z41)</f>
        <v>0</v>
      </c>
      <c r="AA42" s="9" t="n">
        <f aca="false">SUM(AA35:AA41)</f>
        <v>64</v>
      </c>
      <c r="AB42" s="9" t="n">
        <f aca="false">SUM(AB35:AB41)</f>
        <v>112</v>
      </c>
      <c r="AC42" s="9" t="n">
        <f aca="false">SUM(AC35:AC41)</f>
        <v>64</v>
      </c>
      <c r="AD42" s="9" t="n">
        <f aca="false">SUM(AD35:AD41)</f>
        <v>0</v>
      </c>
    </row>
    <row r="43" customFormat="false" ht="15" hidden="false" customHeight="false" outlineLevel="0" collapsed="false">
      <c r="A43" s="8" t="s">
        <v>36</v>
      </c>
      <c r="B43" s="9" t="n">
        <f aca="false">SUM(B35:B41)-SUMIF(A35:A41,"* (inventaire)",B35:B41)</f>
        <v>981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9" t="n">
        <f aca="false">SUM(Q35:Q41)-SUMIF(A35:A41,"* (inventaire)",Q35:Q41)</f>
        <v>23975</v>
      </c>
      <c r="R43" s="9" t="n">
        <f aca="false">SUM(R35:R41)-SUMIF(A35:A41,"* (inventaire)",R35:R41)</f>
        <v>6730</v>
      </c>
      <c r="S43" s="9" t="n">
        <f aca="false">SUM(S35:S41)-SUMIF(A35:A41,"* (inventaire)",S35:S41)</f>
        <v>0</v>
      </c>
      <c r="T43" s="9" t="n">
        <f aca="false">SUM(T35:T41)-SUMIF(A35:A41,"* (inventaire)",T35:T41)</f>
        <v>0</v>
      </c>
      <c r="U43" s="9" t="n">
        <f aca="false">SUM(U35:U41)-SUMIF(A35:A41,"* (inventaire)",U35:U41)</f>
        <v>0</v>
      </c>
      <c r="V43" s="9" t="n">
        <f aca="false">SUM(V35:V41)-SUMIF(A35:A41,"* (inventaire)",V35:V41)</f>
        <v>0</v>
      </c>
      <c r="W43" s="9" t="n">
        <f aca="false">SUM(W35:W41)-SUMIF(A35:A41,"* (inventaire)",W35:W41)</f>
        <v>0</v>
      </c>
      <c r="X43" s="9" t="n">
        <f aca="false">SUM(X35:X41)-SUMIF(A35:A41,"* (inventaire)",X35:X41)</f>
        <v>0</v>
      </c>
      <c r="Y43" s="9" t="n">
        <f aca="false">SUM(Y35:Y41)-SUMIF(A35:A41,"* (inventaire)",Y35:Y41)</f>
        <v>0</v>
      </c>
      <c r="Z43" s="9" t="n">
        <f aca="false">SUM(Z35:Z41)-SUMIF(A35:A41,"* (inventaire)",Z35:Z41)</f>
        <v>0</v>
      </c>
      <c r="AA43" s="9" t="n">
        <f aca="false">SUM(AA35:AA41)-SUMIF(A35:A41,"* (inventaire)",AA35:AA41)</f>
        <v>64</v>
      </c>
      <c r="AB43" s="9" t="n">
        <f aca="false">SUM(AB35:AB41)-SUMIF(A35:A41,"* (inventaire)",AB35:AB41)</f>
        <v>112</v>
      </c>
      <c r="AC43" s="9" t="n">
        <f aca="false">SUM(AC35:AC41)-SUMIF(A35:A41,"* (inventaire)",AC35:AC41)</f>
        <v>64</v>
      </c>
      <c r="AD43" s="9" t="n">
        <f aca="false">SUM(AD35:AD41)-SUMIF(A35:A41,"* (inventaire)",AD35:AD41)</f>
        <v>0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5" hidden="false" customHeight="false" outlineLevel="0" collapsed="false">
      <c r="A45" s="15" t="s">
        <v>117</v>
      </c>
      <c r="B45" s="2"/>
      <c r="C45" s="3" t="s">
        <v>118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30" hidden="false" customHeight="true" outlineLevel="0" collapsed="false">
      <c r="A46" s="11" t="s">
        <v>67</v>
      </c>
      <c r="B46" s="11" t="s">
        <v>68</v>
      </c>
      <c r="C46" s="11" t="s">
        <v>69</v>
      </c>
      <c r="D46" s="11" t="s">
        <v>70</v>
      </c>
      <c r="E46" s="11" t="s">
        <v>71</v>
      </c>
      <c r="F46" s="11" t="s">
        <v>72</v>
      </c>
      <c r="G46" s="11" t="s">
        <v>73</v>
      </c>
      <c r="H46" s="11" t="s">
        <v>74</v>
      </c>
      <c r="I46" s="11" t="s">
        <v>75</v>
      </c>
      <c r="J46" s="11" t="s">
        <v>76</v>
      </c>
      <c r="K46" s="11" t="s">
        <v>77</v>
      </c>
      <c r="L46" s="11" t="s">
        <v>78</v>
      </c>
      <c r="M46" s="11" t="s">
        <v>79</v>
      </c>
      <c r="N46" s="11" t="s">
        <v>80</v>
      </c>
      <c r="O46" s="11" t="s">
        <v>81</v>
      </c>
      <c r="P46" s="11" t="s">
        <v>82</v>
      </c>
      <c r="Q46" s="11" t="s">
        <v>83</v>
      </c>
      <c r="R46" s="11" t="s">
        <v>84</v>
      </c>
      <c r="S46" s="11" t="s">
        <v>85</v>
      </c>
      <c r="T46" s="11" t="s">
        <v>86</v>
      </c>
      <c r="U46" s="11" t="s">
        <v>87</v>
      </c>
      <c r="V46" s="11" t="s">
        <v>88</v>
      </c>
      <c r="W46" s="11" t="s">
        <v>89</v>
      </c>
      <c r="X46" s="11" t="s">
        <v>90</v>
      </c>
      <c r="Y46" s="11" t="s">
        <v>91</v>
      </c>
      <c r="Z46" s="11" t="s">
        <v>92</v>
      </c>
      <c r="AA46" s="11" t="s">
        <v>93</v>
      </c>
      <c r="AB46" s="11" t="s">
        <v>94</v>
      </c>
      <c r="AC46" s="11" t="s">
        <v>95</v>
      </c>
      <c r="AD46" s="11" t="s">
        <v>96</v>
      </c>
    </row>
    <row r="47" customFormat="false" ht="15" hidden="false" customHeight="false" outlineLevel="0" collapsed="false">
      <c r="A47" s="6" t="s">
        <v>105</v>
      </c>
      <c r="B47" s="16" t="n">
        <v>423</v>
      </c>
      <c r="C47" s="7" t="n">
        <f aca="false">IFERROR(INDEX(Détail!$E$5:$E$30,MATCH("Cadre de porte double métal",Détail!$B$5:$B$30,0)),0)</f>
        <v>25</v>
      </c>
      <c r="D47" s="7" t="n">
        <f aca="false">IFERROR(INDEX(Détail!$F$5:$F$30,MATCH("Cadre de porte double métal",Détail!$B$5:$B$30,0)),0)</f>
        <v>7</v>
      </c>
      <c r="E47" s="7" t="n">
        <f aca="false">IFERROR(INDEX(Détail!$G$5:$G$30,MATCH("Cadre de porte double métal",Détail!$B$5:$B$30,0)),0)</f>
        <v>0</v>
      </c>
      <c r="F47" s="7" t="n">
        <f aca="false">IFERROR(INDEX(Détail!$H$5:$H$30,MATCH("Cadre de porte double métal",Détail!$B$5:$B$30,0)),0)</f>
        <v>0</v>
      </c>
      <c r="G47" s="7" t="n">
        <f aca="false">IFERROR(INDEX(Détail!$I$5:$I$30,MATCH("Cadre de porte double métal",Détail!$B$5:$B$30,0)),0)</f>
        <v>0</v>
      </c>
      <c r="H47" s="7" t="n">
        <f aca="false">IFERROR(INDEX(Détail!$J$5:$J$30,MATCH("Cadre de porte double métal",Détail!$B$5:$B$30,0)),0)</f>
        <v>0</v>
      </c>
      <c r="I47" s="7" t="n">
        <f aca="false">IFERROR(INDEX(Détail!$K$5:$K$30,MATCH("Cadre de porte double métal",Détail!$B$5:$B$30,0)),0)</f>
        <v>0</v>
      </c>
      <c r="J47" s="7" t="n">
        <f aca="false">IFERROR(INDEX(Détail!$L$5:$L$30,MATCH("Cadre de porte double métal",Détail!$B$5:$B$30,0)),0)</f>
        <v>0</v>
      </c>
      <c r="K47" s="7" t="n">
        <f aca="false">IFERROR(INDEX(Détail!$M$5:$M$30,MATCH("Cadre de porte double métal",Détail!$B$5:$B$30,0)),0)</f>
        <v>0</v>
      </c>
      <c r="L47" s="7" t="n">
        <f aca="false">IFERROR(INDEX(Détail!$N$5:$N$30,MATCH("Cadre de porte double métal",Détail!$B$5:$B$30,0)),0)</f>
        <v>0</v>
      </c>
      <c r="M47" s="7" t="n">
        <f aca="false">IFERROR(INDEX(Détail!$O$5:$O$30,MATCH("Cadre de porte double métal",Détail!$B$5:$B$30,0)),0)</f>
        <v>0</v>
      </c>
      <c r="N47" s="7" t="n">
        <f aca="false">IFERROR(INDEX(Détail!$P$5:$P$30,MATCH("Cadre de porte double métal",Détail!$B$5:$B$30,0)),0)</f>
        <v>0</v>
      </c>
      <c r="O47" s="7" t="n">
        <f aca="false">IFERROR(INDEX(Détail!$Q$5:$Q$30,MATCH("Cadre de porte double métal",Détail!$B$5:$B$30,0)),0)</f>
        <v>0</v>
      </c>
      <c r="P47" s="7" t="n">
        <f aca="false">IFERROR(INDEX(Détail!$R$5:$R$30,MATCH("Cadre de porte double métal",Détail!$B$5:$B$30,0)),0)</f>
        <v>0</v>
      </c>
      <c r="Q47" s="14" t="n">
        <f aca="false">$B47*C47</f>
        <v>10575</v>
      </c>
      <c r="R47" s="14" t="n">
        <f aca="false">$B47*D47</f>
        <v>2961</v>
      </c>
      <c r="S47" s="14" t="n">
        <f aca="false">$B47*E47</f>
        <v>0</v>
      </c>
      <c r="T47" s="14" t="n">
        <f aca="false">$B47*F47</f>
        <v>0</v>
      </c>
      <c r="U47" s="14" t="n">
        <f aca="false">$B47*G47</f>
        <v>0</v>
      </c>
      <c r="V47" s="14" t="n">
        <f aca="false">$B47*H47</f>
        <v>0</v>
      </c>
      <c r="W47" s="14" t="n">
        <f aca="false">$B47*I47</f>
        <v>0</v>
      </c>
      <c r="X47" s="14" t="n">
        <f aca="false">$B47*J47</f>
        <v>0</v>
      </c>
      <c r="Y47" s="14" t="n">
        <f aca="false">$B47*K47</f>
        <v>0</v>
      </c>
      <c r="Z47" s="14" t="n">
        <f aca="false">$B47*L47</f>
        <v>0</v>
      </c>
      <c r="AA47" s="14" t="n">
        <f aca="false">$B47*M47</f>
        <v>0</v>
      </c>
      <c r="AB47" s="14" t="n">
        <f aca="false">$B47*N47</f>
        <v>0</v>
      </c>
      <c r="AC47" s="14" t="n">
        <f aca="false">$B47*O47</f>
        <v>0</v>
      </c>
      <c r="AD47" s="14" t="n">
        <f aca="false">$B47*P47</f>
        <v>0</v>
      </c>
    </row>
    <row r="48" customFormat="false" ht="15" hidden="false" customHeight="false" outlineLevel="0" collapsed="false">
      <c r="A48" s="6" t="s">
        <v>114</v>
      </c>
      <c r="B48" s="16" t="n">
        <v>285</v>
      </c>
      <c r="C48" s="7" t="n">
        <f aca="false">IFERROR(INDEX(Détail!$E$5:$E$30,MATCH("Plafond triangle métal",Détail!$B$5:$B$30,0)),0)</f>
        <v>18</v>
      </c>
      <c r="D48" s="7" t="n">
        <f aca="false">IFERROR(INDEX(Détail!$F$5:$F$30,MATCH("Plafond triangle métal",Détail!$B$5:$B$30,0)),0)</f>
        <v>5</v>
      </c>
      <c r="E48" s="7" t="n">
        <f aca="false">IFERROR(INDEX(Détail!$G$5:$G$30,MATCH("Plafond triangle métal",Détail!$B$5:$B$30,0)),0)</f>
        <v>0</v>
      </c>
      <c r="F48" s="7" t="n">
        <f aca="false">IFERROR(INDEX(Détail!$H$5:$H$30,MATCH("Plafond triangle métal",Détail!$B$5:$B$30,0)),0)</f>
        <v>0</v>
      </c>
      <c r="G48" s="7" t="n">
        <f aca="false">IFERROR(INDEX(Détail!$I$5:$I$30,MATCH("Plafond triangle métal",Détail!$B$5:$B$30,0)),0)</f>
        <v>0</v>
      </c>
      <c r="H48" s="7" t="n">
        <f aca="false">IFERROR(INDEX(Détail!$J$5:$J$30,MATCH("Plafond triangle métal",Détail!$B$5:$B$30,0)),0)</f>
        <v>0</v>
      </c>
      <c r="I48" s="7" t="n">
        <f aca="false">IFERROR(INDEX(Détail!$K$5:$K$30,MATCH("Plafond triangle métal",Détail!$B$5:$B$30,0)),0)</f>
        <v>0</v>
      </c>
      <c r="J48" s="7" t="n">
        <f aca="false">IFERROR(INDEX(Détail!$L$5:$L$30,MATCH("Plafond triangle métal",Détail!$B$5:$B$30,0)),0)</f>
        <v>0</v>
      </c>
      <c r="K48" s="7" t="n">
        <f aca="false">IFERROR(INDEX(Détail!$M$5:$M$30,MATCH("Plafond triangle métal",Détail!$B$5:$B$30,0)),0)</f>
        <v>0</v>
      </c>
      <c r="L48" s="7" t="n">
        <f aca="false">IFERROR(INDEX(Détail!$N$5:$N$30,MATCH("Plafond triangle métal",Détail!$B$5:$B$30,0)),0)</f>
        <v>0</v>
      </c>
      <c r="M48" s="7" t="n">
        <f aca="false">IFERROR(INDEX(Détail!$O$5:$O$30,MATCH("Plafond triangle métal",Détail!$B$5:$B$30,0)),0)</f>
        <v>0</v>
      </c>
      <c r="N48" s="7" t="n">
        <f aca="false">IFERROR(INDEX(Détail!$P$5:$P$30,MATCH("Plafond triangle métal",Détail!$B$5:$B$30,0)),0)</f>
        <v>0</v>
      </c>
      <c r="O48" s="7" t="n">
        <f aca="false">IFERROR(INDEX(Détail!$Q$5:$Q$30,MATCH("Plafond triangle métal",Détail!$B$5:$B$30,0)),0)</f>
        <v>0</v>
      </c>
      <c r="P48" s="7" t="n">
        <f aca="false">IFERROR(INDEX(Détail!$R$5:$R$30,MATCH("Plafond triangle métal",Détail!$B$5:$B$30,0)),0)</f>
        <v>0</v>
      </c>
      <c r="Q48" s="14" t="n">
        <f aca="false">$B48*C48</f>
        <v>5130</v>
      </c>
      <c r="R48" s="14" t="n">
        <f aca="false">$B48*D48</f>
        <v>1425</v>
      </c>
      <c r="S48" s="14" t="n">
        <f aca="false">$B48*E48</f>
        <v>0</v>
      </c>
      <c r="T48" s="14" t="n">
        <f aca="false">$B48*F48</f>
        <v>0</v>
      </c>
      <c r="U48" s="14" t="n">
        <f aca="false">$B48*G48</f>
        <v>0</v>
      </c>
      <c r="V48" s="14" t="n">
        <f aca="false">$B48*H48</f>
        <v>0</v>
      </c>
      <c r="W48" s="14" t="n">
        <f aca="false">$B48*I48</f>
        <v>0</v>
      </c>
      <c r="X48" s="14" t="n">
        <f aca="false">$B48*J48</f>
        <v>0</v>
      </c>
      <c r="Y48" s="14" t="n">
        <f aca="false">$B48*K48</f>
        <v>0</v>
      </c>
      <c r="Z48" s="14" t="n">
        <f aca="false">$B48*L48</f>
        <v>0</v>
      </c>
      <c r="AA48" s="14" t="n">
        <f aca="false">$B48*M48</f>
        <v>0</v>
      </c>
      <c r="AB48" s="14" t="n">
        <f aca="false">$B48*N48</f>
        <v>0</v>
      </c>
      <c r="AC48" s="14" t="n">
        <f aca="false">$B48*O48</f>
        <v>0</v>
      </c>
      <c r="AD48" s="14" t="n">
        <f aca="false">$B48*P48</f>
        <v>0</v>
      </c>
    </row>
    <row r="49" customFormat="false" ht="15" hidden="false" customHeight="false" outlineLevel="0" collapsed="false">
      <c r="A49" s="6" t="s">
        <v>110</v>
      </c>
      <c r="B49" s="16" t="n">
        <v>202</v>
      </c>
      <c r="C49" s="7" t="n">
        <f aca="false">IFERROR(INDEX(Détail!$E$5:$E$30,MATCH("Pilier fin métal (Thin Pillar)",Détail!$B$5:$B$30,0)),0)</f>
        <v>13</v>
      </c>
      <c r="D49" s="7" t="n">
        <f aca="false">IFERROR(INDEX(Détail!$F$5:$F$30,MATCH("Pilier fin métal (Thin Pillar)",Détail!$B$5:$B$30,0)),0)</f>
        <v>4</v>
      </c>
      <c r="E49" s="7" t="n">
        <f aca="false">IFERROR(INDEX(Détail!$G$5:$G$30,MATCH("Pilier fin métal (Thin Pillar)",Détail!$B$5:$B$30,0)),0)</f>
        <v>0</v>
      </c>
      <c r="F49" s="7" t="n">
        <f aca="false">IFERROR(INDEX(Détail!$H$5:$H$30,MATCH("Pilier fin métal (Thin Pillar)",Détail!$B$5:$B$30,0)),0)</f>
        <v>0</v>
      </c>
      <c r="G49" s="7" t="n">
        <f aca="false">IFERROR(INDEX(Détail!$I$5:$I$30,MATCH("Pilier fin métal (Thin Pillar)",Détail!$B$5:$B$30,0)),0)</f>
        <v>0</v>
      </c>
      <c r="H49" s="7" t="n">
        <f aca="false">IFERROR(INDEX(Détail!$J$5:$J$30,MATCH("Pilier fin métal (Thin Pillar)",Détail!$B$5:$B$30,0)),0)</f>
        <v>0</v>
      </c>
      <c r="I49" s="7" t="n">
        <f aca="false">IFERROR(INDEX(Détail!$K$5:$K$30,MATCH("Pilier fin métal (Thin Pillar)",Détail!$B$5:$B$30,0)),0)</f>
        <v>0</v>
      </c>
      <c r="J49" s="7" t="n">
        <f aca="false">IFERROR(INDEX(Détail!$L$5:$L$30,MATCH("Pilier fin métal (Thin Pillar)",Détail!$B$5:$B$30,0)),0)</f>
        <v>0</v>
      </c>
      <c r="K49" s="7" t="n">
        <f aca="false">IFERROR(INDEX(Détail!$M$5:$M$30,MATCH("Pilier fin métal (Thin Pillar)",Détail!$B$5:$B$30,0)),0)</f>
        <v>0</v>
      </c>
      <c r="L49" s="7" t="n">
        <f aca="false">IFERROR(INDEX(Détail!$N$5:$N$30,MATCH("Pilier fin métal (Thin Pillar)",Détail!$B$5:$B$30,0)),0)</f>
        <v>0</v>
      </c>
      <c r="M49" s="7" t="n">
        <f aca="false">IFERROR(INDEX(Détail!$O$5:$O$30,MATCH("Pilier fin métal (Thin Pillar)",Détail!$B$5:$B$30,0)),0)</f>
        <v>0</v>
      </c>
      <c r="N49" s="7" t="n">
        <f aca="false">IFERROR(INDEX(Détail!$P$5:$P$30,MATCH("Pilier fin métal (Thin Pillar)",Détail!$B$5:$B$30,0)),0)</f>
        <v>0</v>
      </c>
      <c r="O49" s="7" t="n">
        <f aca="false">IFERROR(INDEX(Détail!$Q$5:$Q$30,MATCH("Pilier fin métal (Thin Pillar)",Détail!$B$5:$B$30,0)),0)</f>
        <v>0</v>
      </c>
      <c r="P49" s="7" t="n">
        <f aca="false">IFERROR(INDEX(Détail!$R$5:$R$30,MATCH("Pilier fin métal (Thin Pillar)",Détail!$B$5:$B$30,0)),0)</f>
        <v>0</v>
      </c>
      <c r="Q49" s="14" t="n">
        <f aca="false">$B49*C49</f>
        <v>2626</v>
      </c>
      <c r="R49" s="14" t="n">
        <f aca="false">$B49*D49</f>
        <v>808</v>
      </c>
      <c r="S49" s="14" t="n">
        <f aca="false">$B49*E49</f>
        <v>0</v>
      </c>
      <c r="T49" s="14" t="n">
        <f aca="false">$B49*F49</f>
        <v>0</v>
      </c>
      <c r="U49" s="14" t="n">
        <f aca="false">$B49*G49</f>
        <v>0</v>
      </c>
      <c r="V49" s="14" t="n">
        <f aca="false">$B49*H49</f>
        <v>0</v>
      </c>
      <c r="W49" s="14" t="n">
        <f aca="false">$B49*I49</f>
        <v>0</v>
      </c>
      <c r="X49" s="14" t="n">
        <f aca="false">$B49*J49</f>
        <v>0</v>
      </c>
      <c r="Y49" s="14" t="n">
        <f aca="false">$B49*K49</f>
        <v>0</v>
      </c>
      <c r="Z49" s="14" t="n">
        <f aca="false">$B49*L49</f>
        <v>0</v>
      </c>
      <c r="AA49" s="14" t="n">
        <f aca="false">$B49*M49</f>
        <v>0</v>
      </c>
      <c r="AB49" s="14" t="n">
        <f aca="false">$B49*N49</f>
        <v>0</v>
      </c>
      <c r="AC49" s="14" t="n">
        <f aca="false">$B49*O49</f>
        <v>0</v>
      </c>
      <c r="AD49" s="14" t="n">
        <f aca="false">$B49*P49</f>
        <v>0</v>
      </c>
    </row>
    <row r="50" customFormat="false" ht="15" hidden="false" customHeight="false" outlineLevel="0" collapsed="false">
      <c r="A50" s="6" t="s">
        <v>115</v>
      </c>
      <c r="B50" s="16" t="n">
        <v>136</v>
      </c>
      <c r="C50" s="7" t="n">
        <f aca="false">IFERROR(INDEX(Détail!$E$5:$E$30,MATCH("Plafond métal",Détail!$B$5:$B$30,0)),0)</f>
        <v>35</v>
      </c>
      <c r="D50" s="7" t="n">
        <f aca="false">IFERROR(INDEX(Détail!$F$5:$F$30,MATCH("Plafond métal",Détail!$B$5:$B$30,0)),0)</f>
        <v>10</v>
      </c>
      <c r="E50" s="7" t="n">
        <f aca="false">IFERROR(INDEX(Détail!$G$5:$G$30,MATCH("Plafond métal",Détail!$B$5:$B$30,0)),0)</f>
        <v>0</v>
      </c>
      <c r="F50" s="7" t="n">
        <f aca="false">IFERROR(INDEX(Détail!$H$5:$H$30,MATCH("Plafond métal",Détail!$B$5:$B$30,0)),0)</f>
        <v>0</v>
      </c>
      <c r="G50" s="7" t="n">
        <f aca="false">IFERROR(INDEX(Détail!$I$5:$I$30,MATCH("Plafond métal",Détail!$B$5:$B$30,0)),0)</f>
        <v>0</v>
      </c>
      <c r="H50" s="7" t="n">
        <f aca="false">IFERROR(INDEX(Détail!$J$5:$J$30,MATCH("Plafond métal",Détail!$B$5:$B$30,0)),0)</f>
        <v>0</v>
      </c>
      <c r="I50" s="7" t="n">
        <f aca="false">IFERROR(INDEX(Détail!$K$5:$K$30,MATCH("Plafond métal",Détail!$B$5:$B$30,0)),0)</f>
        <v>0</v>
      </c>
      <c r="J50" s="7" t="n">
        <f aca="false">IFERROR(INDEX(Détail!$L$5:$L$30,MATCH("Plafond métal",Détail!$B$5:$B$30,0)),0)</f>
        <v>0</v>
      </c>
      <c r="K50" s="7" t="n">
        <f aca="false">IFERROR(INDEX(Détail!$M$5:$M$30,MATCH("Plafond métal",Détail!$B$5:$B$30,0)),0)</f>
        <v>0</v>
      </c>
      <c r="L50" s="7" t="n">
        <f aca="false">IFERROR(INDEX(Détail!$N$5:$N$30,MATCH("Plafond métal",Détail!$B$5:$B$30,0)),0)</f>
        <v>0</v>
      </c>
      <c r="M50" s="7" t="n">
        <f aca="false">IFERROR(INDEX(Détail!$O$5:$O$30,MATCH("Plafond métal",Détail!$B$5:$B$30,0)),0)</f>
        <v>0</v>
      </c>
      <c r="N50" s="7" t="n">
        <f aca="false">IFERROR(INDEX(Détail!$P$5:$P$30,MATCH("Plafond métal",Détail!$B$5:$B$30,0)),0)</f>
        <v>0</v>
      </c>
      <c r="O50" s="7" t="n">
        <f aca="false">IFERROR(INDEX(Détail!$Q$5:$Q$30,MATCH("Plafond métal",Détail!$B$5:$B$30,0)),0)</f>
        <v>0</v>
      </c>
      <c r="P50" s="7" t="n">
        <f aca="false">IFERROR(INDEX(Détail!$R$5:$R$30,MATCH("Plafond métal",Détail!$B$5:$B$30,0)),0)</f>
        <v>0</v>
      </c>
      <c r="Q50" s="14" t="n">
        <f aca="false">$B50*C50</f>
        <v>4760</v>
      </c>
      <c r="R50" s="14" t="n">
        <f aca="false">$B50*D50</f>
        <v>1360</v>
      </c>
      <c r="S50" s="14" t="n">
        <f aca="false">$B50*E50</f>
        <v>0</v>
      </c>
      <c r="T50" s="14" t="n">
        <f aca="false">$B50*F50</f>
        <v>0</v>
      </c>
      <c r="U50" s="14" t="n">
        <f aca="false">$B50*G50</f>
        <v>0</v>
      </c>
      <c r="V50" s="14" t="n">
        <f aca="false">$B50*H50</f>
        <v>0</v>
      </c>
      <c r="W50" s="14" t="n">
        <f aca="false">$B50*I50</f>
        <v>0</v>
      </c>
      <c r="X50" s="14" t="n">
        <f aca="false">$B50*J50</f>
        <v>0</v>
      </c>
      <c r="Y50" s="14" t="n">
        <f aca="false">$B50*K50</f>
        <v>0</v>
      </c>
      <c r="Z50" s="14" t="n">
        <f aca="false">$B50*L50</f>
        <v>0</v>
      </c>
      <c r="AA50" s="14" t="n">
        <f aca="false">$B50*M50</f>
        <v>0</v>
      </c>
      <c r="AB50" s="14" t="n">
        <f aca="false">$B50*N50</f>
        <v>0</v>
      </c>
      <c r="AC50" s="14" t="n">
        <f aca="false">$B50*O50</f>
        <v>0</v>
      </c>
      <c r="AD50" s="14" t="n">
        <f aca="false">$B50*P50</f>
        <v>0</v>
      </c>
    </row>
    <row r="51" customFormat="false" ht="15" hidden="false" customHeight="false" outlineLevel="0" collapsed="false">
      <c r="A51" s="6" t="s">
        <v>109</v>
      </c>
      <c r="B51" s="16" t="n">
        <v>116</v>
      </c>
      <c r="C51" s="7" t="n">
        <f aca="false">IFERROR(INDEX(Détail!$E$5:$E$30,MATCH("Rampe inclinée métal (Sloped Railing)",Détail!$B$5:$B$30,0)),0)</f>
        <v>12</v>
      </c>
      <c r="D51" s="7" t="n">
        <f aca="false">IFERROR(INDEX(Détail!$F$5:$F$30,MATCH("Rampe inclinée métal (Sloped Railing)",Détail!$B$5:$B$30,0)),0)</f>
        <v>3</v>
      </c>
      <c r="E51" s="7" t="n">
        <f aca="false">IFERROR(INDEX(Détail!$G$5:$G$30,MATCH("Rampe inclinée métal (Sloped Railing)",Détail!$B$5:$B$30,0)),0)</f>
        <v>0</v>
      </c>
      <c r="F51" s="7" t="n">
        <f aca="false">IFERROR(INDEX(Détail!$H$5:$H$30,MATCH("Rampe inclinée métal (Sloped Railing)",Détail!$B$5:$B$30,0)),0)</f>
        <v>0</v>
      </c>
      <c r="G51" s="7" t="n">
        <f aca="false">IFERROR(INDEX(Détail!$I$5:$I$30,MATCH("Rampe inclinée métal (Sloped Railing)",Détail!$B$5:$B$30,0)),0)</f>
        <v>0</v>
      </c>
      <c r="H51" s="7" t="n">
        <f aca="false">IFERROR(INDEX(Détail!$J$5:$J$30,MATCH("Rampe inclinée métal (Sloped Railing)",Détail!$B$5:$B$30,0)),0)</f>
        <v>0</v>
      </c>
      <c r="I51" s="7" t="n">
        <f aca="false">IFERROR(INDEX(Détail!$K$5:$K$30,MATCH("Rampe inclinée métal (Sloped Railing)",Détail!$B$5:$B$30,0)),0)</f>
        <v>0</v>
      </c>
      <c r="J51" s="7" t="n">
        <f aca="false">IFERROR(INDEX(Détail!$L$5:$L$30,MATCH("Rampe inclinée métal (Sloped Railing)",Détail!$B$5:$B$30,0)),0)</f>
        <v>0</v>
      </c>
      <c r="K51" s="7" t="n">
        <f aca="false">IFERROR(INDEX(Détail!$M$5:$M$30,MATCH("Rampe inclinée métal (Sloped Railing)",Détail!$B$5:$B$30,0)),0)</f>
        <v>0</v>
      </c>
      <c r="L51" s="7" t="n">
        <f aca="false">IFERROR(INDEX(Détail!$N$5:$N$30,MATCH("Rampe inclinée métal (Sloped Railing)",Détail!$B$5:$B$30,0)),0)</f>
        <v>0</v>
      </c>
      <c r="M51" s="7" t="n">
        <f aca="false">IFERROR(INDEX(Détail!$O$5:$O$30,MATCH("Rampe inclinée métal (Sloped Railing)",Détail!$B$5:$B$30,0)),0)</f>
        <v>0</v>
      </c>
      <c r="N51" s="7" t="n">
        <f aca="false">IFERROR(INDEX(Détail!$P$5:$P$30,MATCH("Rampe inclinée métal (Sloped Railing)",Détail!$B$5:$B$30,0)),0)</f>
        <v>0</v>
      </c>
      <c r="O51" s="7" t="n">
        <f aca="false">IFERROR(INDEX(Détail!$Q$5:$Q$30,MATCH("Rampe inclinée métal (Sloped Railing)",Détail!$B$5:$B$30,0)),0)</f>
        <v>0</v>
      </c>
      <c r="P51" s="7" t="n">
        <f aca="false">IFERROR(INDEX(Détail!$R$5:$R$30,MATCH("Rampe inclinée métal (Sloped Railing)",Détail!$B$5:$B$30,0)),0)</f>
        <v>0</v>
      </c>
      <c r="Q51" s="14" t="n">
        <f aca="false">$B51*C51</f>
        <v>1392</v>
      </c>
      <c r="R51" s="14" t="n">
        <f aca="false">$B51*D51</f>
        <v>348</v>
      </c>
      <c r="S51" s="14" t="n">
        <f aca="false">$B51*E51</f>
        <v>0</v>
      </c>
      <c r="T51" s="14" t="n">
        <f aca="false">$B51*F51</f>
        <v>0</v>
      </c>
      <c r="U51" s="14" t="n">
        <f aca="false">$B51*G51</f>
        <v>0</v>
      </c>
      <c r="V51" s="14" t="n">
        <f aca="false">$B51*H51</f>
        <v>0</v>
      </c>
      <c r="W51" s="14" t="n">
        <f aca="false">$B51*I51</f>
        <v>0</v>
      </c>
      <c r="X51" s="14" t="n">
        <f aca="false">$B51*J51</f>
        <v>0</v>
      </c>
      <c r="Y51" s="14" t="n">
        <f aca="false">$B51*K51</f>
        <v>0</v>
      </c>
      <c r="Z51" s="14" t="n">
        <f aca="false">$B51*L51</f>
        <v>0</v>
      </c>
      <c r="AA51" s="14" t="n">
        <f aca="false">$B51*M51</f>
        <v>0</v>
      </c>
      <c r="AB51" s="14" t="n">
        <f aca="false">$B51*N51</f>
        <v>0</v>
      </c>
      <c r="AC51" s="14" t="n">
        <f aca="false">$B51*O51</f>
        <v>0</v>
      </c>
      <c r="AD51" s="14" t="n">
        <f aca="false">$B51*P51</f>
        <v>0</v>
      </c>
    </row>
    <row r="52" customFormat="false" ht="15" hidden="false" customHeight="false" outlineLevel="0" collapsed="false">
      <c r="A52" s="6" t="s">
        <v>106</v>
      </c>
      <c r="B52" s="16" t="n">
        <v>33</v>
      </c>
      <c r="C52" s="7" t="n">
        <f aca="false">IFERROR(INDEX(Détail!$E$5:$E$30,MATCH("Mur de chaume (gabarit de pose, à démolir)",Détail!$B$5:$B$30,0)),0)</f>
        <v>0</v>
      </c>
      <c r="D52" s="7" t="n">
        <f aca="false">IFERROR(INDEX(Détail!$F$5:$F$30,MATCH("Mur de chaume (gabarit de pose, à démolir)",Détail!$B$5:$B$30,0)),0)</f>
        <v>0</v>
      </c>
      <c r="E52" s="7" t="n">
        <f aca="false">IFERROR(INDEX(Détail!$G$5:$G$30,MATCH("Mur de chaume (gabarit de pose, à démolir)",Détail!$B$5:$B$30,0)),0)</f>
        <v>0</v>
      </c>
      <c r="F52" s="7" t="n">
        <f aca="false">IFERROR(INDEX(Détail!$H$5:$H$30,MATCH("Mur de chaume (gabarit de pose, à démolir)",Détail!$B$5:$B$30,0)),0)</f>
        <v>0</v>
      </c>
      <c r="G52" s="7" t="n">
        <f aca="false">IFERROR(INDEX(Détail!$I$5:$I$30,MATCH("Mur de chaume (gabarit de pose, à démolir)",Détail!$B$5:$B$30,0)),0)</f>
        <v>0</v>
      </c>
      <c r="H52" s="7" t="n">
        <f aca="false">IFERROR(INDEX(Détail!$J$5:$J$30,MATCH("Mur de chaume (gabarit de pose, à démolir)",Détail!$B$5:$B$30,0)),0)</f>
        <v>0</v>
      </c>
      <c r="I52" s="7" t="n">
        <f aca="false">IFERROR(INDEX(Détail!$K$5:$K$30,MATCH("Mur de chaume (gabarit de pose, à démolir)",Détail!$B$5:$B$30,0)),0)</f>
        <v>0</v>
      </c>
      <c r="J52" s="7" t="n">
        <f aca="false">IFERROR(INDEX(Détail!$L$5:$L$30,MATCH("Mur de chaume (gabarit de pose, à démolir)",Détail!$B$5:$B$30,0)),0)</f>
        <v>0</v>
      </c>
      <c r="K52" s="7" t="n">
        <f aca="false">IFERROR(INDEX(Détail!$M$5:$M$30,MATCH("Mur de chaume (gabarit de pose, à démolir)",Détail!$B$5:$B$30,0)),0)</f>
        <v>0</v>
      </c>
      <c r="L52" s="7" t="n">
        <f aca="false">IFERROR(INDEX(Détail!$N$5:$N$30,MATCH("Mur de chaume (gabarit de pose, à démolir)",Détail!$B$5:$B$30,0)),0)</f>
        <v>0</v>
      </c>
      <c r="M52" s="7" t="n">
        <f aca="false">IFERROR(INDEX(Détail!$O$5:$O$30,MATCH("Mur de chaume (gabarit de pose, à démolir)",Détail!$B$5:$B$30,0)),0)</f>
        <v>4</v>
      </c>
      <c r="N52" s="7" t="n">
        <f aca="false">IFERROR(INDEX(Détail!$P$5:$P$30,MATCH("Mur de chaume (gabarit de pose, à démolir)",Détail!$B$5:$B$30,0)),0)</f>
        <v>7</v>
      </c>
      <c r="O52" s="7" t="n">
        <f aca="false">IFERROR(INDEX(Détail!$Q$5:$Q$30,MATCH("Mur de chaume (gabarit de pose, à démolir)",Détail!$B$5:$B$30,0)),0)</f>
        <v>4</v>
      </c>
      <c r="P52" s="7" t="n">
        <f aca="false">IFERROR(INDEX(Détail!$R$5:$R$30,MATCH("Mur de chaume (gabarit de pose, à démolir)",Détail!$B$5:$B$30,0)),0)</f>
        <v>0</v>
      </c>
      <c r="Q52" s="14" t="n">
        <f aca="false">$B52*C52</f>
        <v>0</v>
      </c>
      <c r="R52" s="14" t="n">
        <f aca="false">$B52*D52</f>
        <v>0</v>
      </c>
      <c r="S52" s="14" t="n">
        <f aca="false">$B52*E52</f>
        <v>0</v>
      </c>
      <c r="T52" s="14" t="n">
        <f aca="false">$B52*F52</f>
        <v>0</v>
      </c>
      <c r="U52" s="14" t="n">
        <f aca="false">$B52*G52</f>
        <v>0</v>
      </c>
      <c r="V52" s="14" t="n">
        <f aca="false">$B52*H52</f>
        <v>0</v>
      </c>
      <c r="W52" s="14" t="n">
        <f aca="false">$B52*I52</f>
        <v>0</v>
      </c>
      <c r="X52" s="14" t="n">
        <f aca="false">$B52*J52</f>
        <v>0</v>
      </c>
      <c r="Y52" s="14" t="n">
        <f aca="false">$B52*K52</f>
        <v>0</v>
      </c>
      <c r="Z52" s="14" t="n">
        <f aca="false">$B52*L52</f>
        <v>0</v>
      </c>
      <c r="AA52" s="14" t="n">
        <f aca="false">$B52*M52</f>
        <v>132</v>
      </c>
      <c r="AB52" s="14" t="n">
        <f aca="false">$B52*N52</f>
        <v>231</v>
      </c>
      <c r="AC52" s="14" t="n">
        <f aca="false">$B52*O52</f>
        <v>132</v>
      </c>
      <c r="AD52" s="14" t="n">
        <f aca="false">$B52*P52</f>
        <v>0</v>
      </c>
    </row>
    <row r="53" customFormat="false" ht="15" hidden="false" customHeight="false" outlineLevel="0" collapsed="false">
      <c r="A53" s="6" t="s">
        <v>119</v>
      </c>
      <c r="B53" s="16" t="n">
        <v>5</v>
      </c>
      <c r="C53" s="7" t="n">
        <f aca="false">IFERROR(INDEX(Détail!$E$5:$E$30,MATCH("Plafond à trappe métal",Détail!$B$5:$B$30,0)),0)</f>
        <v>35</v>
      </c>
      <c r="D53" s="7" t="n">
        <f aca="false">IFERROR(INDEX(Détail!$F$5:$F$30,MATCH("Plafond à trappe métal",Détail!$B$5:$B$30,0)),0)</f>
        <v>10</v>
      </c>
      <c r="E53" s="7" t="n">
        <f aca="false">IFERROR(INDEX(Détail!$G$5:$G$30,MATCH("Plafond à trappe métal",Détail!$B$5:$B$30,0)),0)</f>
        <v>0</v>
      </c>
      <c r="F53" s="7" t="n">
        <f aca="false">IFERROR(INDEX(Détail!$H$5:$H$30,MATCH("Plafond à trappe métal",Détail!$B$5:$B$30,0)),0)</f>
        <v>0</v>
      </c>
      <c r="G53" s="7" t="n">
        <f aca="false">IFERROR(INDEX(Détail!$I$5:$I$30,MATCH("Plafond à trappe métal",Détail!$B$5:$B$30,0)),0)</f>
        <v>0</v>
      </c>
      <c r="H53" s="7" t="n">
        <f aca="false">IFERROR(INDEX(Détail!$J$5:$J$30,MATCH("Plafond à trappe métal",Détail!$B$5:$B$30,0)),0)</f>
        <v>0</v>
      </c>
      <c r="I53" s="7" t="n">
        <f aca="false">IFERROR(INDEX(Détail!$K$5:$K$30,MATCH("Plafond à trappe métal",Détail!$B$5:$B$30,0)),0)</f>
        <v>0</v>
      </c>
      <c r="J53" s="7" t="n">
        <f aca="false">IFERROR(INDEX(Détail!$L$5:$L$30,MATCH("Plafond à trappe métal",Détail!$B$5:$B$30,0)),0)</f>
        <v>0</v>
      </c>
      <c r="K53" s="7" t="n">
        <f aca="false">IFERROR(INDEX(Détail!$M$5:$M$30,MATCH("Plafond à trappe métal",Détail!$B$5:$B$30,0)),0)</f>
        <v>0</v>
      </c>
      <c r="L53" s="7" t="n">
        <f aca="false">IFERROR(INDEX(Détail!$N$5:$N$30,MATCH("Plafond à trappe métal",Détail!$B$5:$B$30,0)),0)</f>
        <v>0</v>
      </c>
      <c r="M53" s="7" t="n">
        <f aca="false">IFERROR(INDEX(Détail!$O$5:$O$30,MATCH("Plafond à trappe métal",Détail!$B$5:$B$30,0)),0)</f>
        <v>0</v>
      </c>
      <c r="N53" s="7" t="n">
        <f aca="false">IFERROR(INDEX(Détail!$P$5:$P$30,MATCH("Plafond à trappe métal",Détail!$B$5:$B$30,0)),0)</f>
        <v>0</v>
      </c>
      <c r="O53" s="7" t="n">
        <f aca="false">IFERROR(INDEX(Détail!$Q$5:$Q$30,MATCH("Plafond à trappe métal",Détail!$B$5:$B$30,0)),0)</f>
        <v>0</v>
      </c>
      <c r="P53" s="7" t="n">
        <f aca="false">IFERROR(INDEX(Détail!$R$5:$R$30,MATCH("Plafond à trappe métal",Détail!$B$5:$B$30,0)),0)</f>
        <v>0</v>
      </c>
      <c r="Q53" s="14" t="n">
        <f aca="false">$B53*C53</f>
        <v>175</v>
      </c>
      <c r="R53" s="14" t="n">
        <f aca="false">$B53*D53</f>
        <v>50</v>
      </c>
      <c r="S53" s="14" t="n">
        <f aca="false">$B53*E53</f>
        <v>0</v>
      </c>
      <c r="T53" s="14" t="n">
        <f aca="false">$B53*F53</f>
        <v>0</v>
      </c>
      <c r="U53" s="14" t="n">
        <f aca="false">$B53*G53</f>
        <v>0</v>
      </c>
      <c r="V53" s="14" t="n">
        <f aca="false">$B53*H53</f>
        <v>0</v>
      </c>
      <c r="W53" s="14" t="n">
        <f aca="false">$B53*I53</f>
        <v>0</v>
      </c>
      <c r="X53" s="14" t="n">
        <f aca="false">$B53*J53</f>
        <v>0</v>
      </c>
      <c r="Y53" s="14" t="n">
        <f aca="false">$B53*K53</f>
        <v>0</v>
      </c>
      <c r="Z53" s="14" t="n">
        <f aca="false">$B53*L53</f>
        <v>0</v>
      </c>
      <c r="AA53" s="14" t="n">
        <f aca="false">$B53*M53</f>
        <v>0</v>
      </c>
      <c r="AB53" s="14" t="n">
        <f aca="false">$B53*N53</f>
        <v>0</v>
      </c>
      <c r="AC53" s="14" t="n">
        <f aca="false">$B53*O53</f>
        <v>0</v>
      </c>
      <c r="AD53" s="14" t="n">
        <f aca="false">$B53*P53</f>
        <v>0</v>
      </c>
    </row>
    <row r="54" customFormat="false" ht="15" hidden="false" customHeight="false" outlineLevel="0" collapsed="false">
      <c r="A54" s="8" t="s">
        <v>99</v>
      </c>
      <c r="B54" s="9" t="n">
        <f aca="false">SUM(B47:B53)</f>
        <v>1200</v>
      </c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9" t="n">
        <f aca="false">SUM(Q47:Q53)</f>
        <v>24658</v>
      </c>
      <c r="R54" s="9" t="n">
        <f aca="false">SUM(R47:R53)</f>
        <v>6952</v>
      </c>
      <c r="S54" s="9" t="n">
        <f aca="false">SUM(S47:S53)</f>
        <v>0</v>
      </c>
      <c r="T54" s="9" t="n">
        <f aca="false">SUM(T47:T53)</f>
        <v>0</v>
      </c>
      <c r="U54" s="9" t="n">
        <f aca="false">SUM(U47:U53)</f>
        <v>0</v>
      </c>
      <c r="V54" s="9" t="n">
        <f aca="false">SUM(V47:V53)</f>
        <v>0</v>
      </c>
      <c r="W54" s="9" t="n">
        <f aca="false">SUM(W47:W53)</f>
        <v>0</v>
      </c>
      <c r="X54" s="9" t="n">
        <f aca="false">SUM(X47:X53)</f>
        <v>0</v>
      </c>
      <c r="Y54" s="9" t="n">
        <f aca="false">SUM(Y47:Y53)</f>
        <v>0</v>
      </c>
      <c r="Z54" s="9" t="n">
        <f aca="false">SUM(Z47:Z53)</f>
        <v>0</v>
      </c>
      <c r="AA54" s="9" t="n">
        <f aca="false">SUM(AA47:AA53)</f>
        <v>132</v>
      </c>
      <c r="AB54" s="9" t="n">
        <f aca="false">SUM(AB47:AB53)</f>
        <v>231</v>
      </c>
      <c r="AC54" s="9" t="n">
        <f aca="false">SUM(AC47:AC53)</f>
        <v>132</v>
      </c>
      <c r="AD54" s="9" t="n">
        <f aca="false">SUM(AD47:AD53)</f>
        <v>0</v>
      </c>
    </row>
    <row r="55" customFormat="false" ht="15" hidden="false" customHeight="false" outlineLevel="0" collapsed="false">
      <c r="A55" s="8" t="s">
        <v>36</v>
      </c>
      <c r="B55" s="9" t="n">
        <f aca="false">SUM(B47:B53)-SUMIF(A47:A53,"* (inventaire)",B47:B53)</f>
        <v>1200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9" t="n">
        <f aca="false">SUM(Q47:Q53)-SUMIF(A47:A53,"* (inventaire)",Q47:Q53)</f>
        <v>24658</v>
      </c>
      <c r="R55" s="9" t="n">
        <f aca="false">SUM(R47:R53)-SUMIF(A47:A53,"* (inventaire)",R47:R53)</f>
        <v>6952</v>
      </c>
      <c r="S55" s="9" t="n">
        <f aca="false">SUM(S47:S53)-SUMIF(A47:A53,"* (inventaire)",S47:S53)</f>
        <v>0</v>
      </c>
      <c r="T55" s="9" t="n">
        <f aca="false">SUM(T47:T53)-SUMIF(A47:A53,"* (inventaire)",T47:T53)</f>
        <v>0</v>
      </c>
      <c r="U55" s="9" t="n">
        <f aca="false">SUM(U47:U53)-SUMIF(A47:A53,"* (inventaire)",U47:U53)</f>
        <v>0</v>
      </c>
      <c r="V55" s="9" t="n">
        <f aca="false">SUM(V47:V53)-SUMIF(A47:A53,"* (inventaire)",V47:V53)</f>
        <v>0</v>
      </c>
      <c r="W55" s="9" t="n">
        <f aca="false">SUM(W47:W53)-SUMIF(A47:A53,"* (inventaire)",W47:W53)</f>
        <v>0</v>
      </c>
      <c r="X55" s="9" t="n">
        <f aca="false">SUM(X47:X53)-SUMIF(A47:A53,"* (inventaire)",X47:X53)</f>
        <v>0</v>
      </c>
      <c r="Y55" s="9" t="n">
        <f aca="false">SUM(Y47:Y53)-SUMIF(A47:A53,"* (inventaire)",Y47:Y53)</f>
        <v>0</v>
      </c>
      <c r="Z55" s="9" t="n">
        <f aca="false">SUM(Z47:Z53)-SUMIF(A47:A53,"* (inventaire)",Z47:Z53)</f>
        <v>0</v>
      </c>
      <c r="AA55" s="9" t="n">
        <f aca="false">SUM(AA47:AA53)-SUMIF(A47:A53,"* (inventaire)",AA47:AA53)</f>
        <v>132</v>
      </c>
      <c r="AB55" s="9" t="n">
        <f aca="false">SUM(AB47:AB53)-SUMIF(A47:A53,"* (inventaire)",AB47:AB53)</f>
        <v>231</v>
      </c>
      <c r="AC55" s="9" t="n">
        <f aca="false">SUM(AC47:AC53)-SUMIF(A47:A53,"* (inventaire)",AC47:AC53)</f>
        <v>132</v>
      </c>
      <c r="AD55" s="9" t="n">
        <f aca="false">SUM(AD47:AD53)-SUMIF(A47:A53,"* (inventaire)",AD47:AD53)</f>
        <v>0</v>
      </c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5" hidden="false" customHeight="false" outlineLevel="0" collapsed="false">
      <c r="A57" s="15" t="s">
        <v>120</v>
      </c>
      <c r="B57" s="2"/>
      <c r="C57" s="3" t="s">
        <v>121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30" hidden="false" customHeight="true" outlineLevel="0" collapsed="false">
      <c r="A58" s="11" t="s">
        <v>67</v>
      </c>
      <c r="B58" s="11" t="s">
        <v>68</v>
      </c>
      <c r="C58" s="11" t="s">
        <v>69</v>
      </c>
      <c r="D58" s="11" t="s">
        <v>70</v>
      </c>
      <c r="E58" s="11" t="s">
        <v>71</v>
      </c>
      <c r="F58" s="11" t="s">
        <v>72</v>
      </c>
      <c r="G58" s="11" t="s">
        <v>73</v>
      </c>
      <c r="H58" s="11" t="s">
        <v>74</v>
      </c>
      <c r="I58" s="11" t="s">
        <v>75</v>
      </c>
      <c r="J58" s="11" t="s">
        <v>76</v>
      </c>
      <c r="K58" s="11" t="s">
        <v>77</v>
      </c>
      <c r="L58" s="11" t="s">
        <v>78</v>
      </c>
      <c r="M58" s="11" t="s">
        <v>79</v>
      </c>
      <c r="N58" s="11" t="s">
        <v>80</v>
      </c>
      <c r="O58" s="11" t="s">
        <v>81</v>
      </c>
      <c r="P58" s="11" t="s">
        <v>82</v>
      </c>
      <c r="Q58" s="11" t="s">
        <v>83</v>
      </c>
      <c r="R58" s="11" t="s">
        <v>84</v>
      </c>
      <c r="S58" s="11" t="s">
        <v>85</v>
      </c>
      <c r="T58" s="11" t="s">
        <v>86</v>
      </c>
      <c r="U58" s="11" t="s">
        <v>87</v>
      </c>
      <c r="V58" s="11" t="s">
        <v>88</v>
      </c>
      <c r="W58" s="11" t="s">
        <v>89</v>
      </c>
      <c r="X58" s="11" t="s">
        <v>90</v>
      </c>
      <c r="Y58" s="11" t="s">
        <v>91</v>
      </c>
      <c r="Z58" s="11" t="s">
        <v>92</v>
      </c>
      <c r="AA58" s="11" t="s">
        <v>93</v>
      </c>
      <c r="AB58" s="11" t="s">
        <v>94</v>
      </c>
      <c r="AC58" s="11" t="s">
        <v>95</v>
      </c>
      <c r="AD58" s="11" t="s">
        <v>96</v>
      </c>
    </row>
    <row r="59" customFormat="false" ht="15" hidden="false" customHeight="false" outlineLevel="0" collapsed="false">
      <c r="A59" s="6" t="s">
        <v>122</v>
      </c>
      <c r="B59" s="16" t="n">
        <v>41</v>
      </c>
      <c r="C59" s="7" t="n">
        <f aca="false">IFERROR(INDEX(Détail!$E$5:$E$30,MATCH("Tourelle lourde (Heavy)",Détail!$B$5:$B$30,0)),0)</f>
        <v>540</v>
      </c>
      <c r="D59" s="7" t="n">
        <f aca="false">IFERROR(INDEX(Détail!$F$5:$F$30,MATCH("Tourelle lourde (Heavy)",Détail!$B$5:$B$30,0)),0)</f>
        <v>200</v>
      </c>
      <c r="E59" s="7" t="n">
        <f aca="false">IFERROR(INDEX(Détail!$G$5:$G$30,MATCH("Tourelle lourde (Heavy)",Détail!$B$5:$B$30,0)),0)</f>
        <v>270</v>
      </c>
      <c r="F59" s="7" t="n">
        <f aca="false">IFERROR(INDEX(Détail!$H$5:$H$30,MATCH("Tourelle lourde (Heavy)",Détail!$B$5:$B$30,0)),0)</f>
        <v>70</v>
      </c>
      <c r="G59" s="7" t="n">
        <f aca="false">IFERROR(INDEX(Détail!$I$5:$I$30,MATCH("Tourelle lourde (Heavy)",Détail!$B$5:$B$30,0)),0)</f>
        <v>0</v>
      </c>
      <c r="H59" s="7" t="n">
        <f aca="false">IFERROR(INDEX(Détail!$J$5:$J$30,MATCH("Tourelle lourde (Heavy)",Détail!$B$5:$B$30,0)),0)</f>
        <v>0</v>
      </c>
      <c r="I59" s="7" t="n">
        <f aca="false">IFERROR(INDEX(Détail!$K$5:$K$30,MATCH("Tourelle lourde (Heavy)",Détail!$B$5:$B$30,0)),0)</f>
        <v>0</v>
      </c>
      <c r="J59" s="7" t="n">
        <f aca="false">IFERROR(INDEX(Détail!$L$5:$L$30,MATCH("Tourelle lourde (Heavy)",Détail!$B$5:$B$30,0)),0)</f>
        <v>0</v>
      </c>
      <c r="K59" s="7" t="n">
        <f aca="false">IFERROR(INDEX(Détail!$M$5:$M$30,MATCH("Tourelle lourde (Heavy)",Détail!$B$5:$B$30,0)),0)</f>
        <v>0</v>
      </c>
      <c r="L59" s="7" t="n">
        <f aca="false">IFERROR(INDEX(Détail!$N$5:$N$30,MATCH("Tourelle lourde (Heavy)",Détail!$B$5:$B$30,0)),0)</f>
        <v>0</v>
      </c>
      <c r="M59" s="7" t="n">
        <f aca="false">IFERROR(INDEX(Détail!$O$5:$O$30,MATCH("Tourelle lourde (Heavy)",Détail!$B$5:$B$30,0)),0)</f>
        <v>0</v>
      </c>
      <c r="N59" s="7" t="n">
        <f aca="false">IFERROR(INDEX(Détail!$P$5:$P$30,MATCH("Tourelle lourde (Heavy)",Détail!$B$5:$B$30,0)),0)</f>
        <v>0</v>
      </c>
      <c r="O59" s="7" t="n">
        <f aca="false">IFERROR(INDEX(Détail!$Q$5:$Q$30,MATCH("Tourelle lourde (Heavy)",Détail!$B$5:$B$30,0)),0)</f>
        <v>0</v>
      </c>
      <c r="P59" s="7" t="n">
        <f aca="false">IFERROR(INDEX(Détail!$R$5:$R$30,MATCH("Tourelle lourde (Heavy)",Détail!$B$5:$B$30,0)),0)</f>
        <v>0</v>
      </c>
      <c r="Q59" s="14" t="n">
        <f aca="false">$B59*C59</f>
        <v>22140</v>
      </c>
      <c r="R59" s="14" t="n">
        <f aca="false">$B59*D59</f>
        <v>8200</v>
      </c>
      <c r="S59" s="14" t="n">
        <f aca="false">$B59*E59</f>
        <v>11070</v>
      </c>
      <c r="T59" s="14" t="n">
        <f aca="false">$B59*F59</f>
        <v>2870</v>
      </c>
      <c r="U59" s="14" t="n">
        <f aca="false">$B59*G59</f>
        <v>0</v>
      </c>
      <c r="V59" s="14" t="n">
        <f aca="false">$B59*H59</f>
        <v>0</v>
      </c>
      <c r="W59" s="14" t="n">
        <f aca="false">$B59*I59</f>
        <v>0</v>
      </c>
      <c r="X59" s="14" t="n">
        <f aca="false">$B59*J59</f>
        <v>0</v>
      </c>
      <c r="Y59" s="14" t="n">
        <f aca="false">$B59*K59</f>
        <v>0</v>
      </c>
      <c r="Z59" s="14" t="n">
        <f aca="false">$B59*L59</f>
        <v>0</v>
      </c>
      <c r="AA59" s="14" t="n">
        <f aca="false">$B59*M59</f>
        <v>0</v>
      </c>
      <c r="AB59" s="14" t="n">
        <f aca="false">$B59*N59</f>
        <v>0</v>
      </c>
      <c r="AC59" s="14" t="n">
        <f aca="false">$B59*O59</f>
        <v>0</v>
      </c>
      <c r="AD59" s="14" t="n">
        <f aca="false">$B59*P59</f>
        <v>0</v>
      </c>
    </row>
    <row r="60" customFormat="false" ht="15" hidden="false" customHeight="false" outlineLevel="0" collapsed="false">
      <c r="A60" s="6" t="s">
        <v>123</v>
      </c>
      <c r="B60" s="16" t="n">
        <v>18</v>
      </c>
      <c r="C60" s="7" t="n">
        <f aca="false">IFERROR(INDEX(Détail!$E$5:$E$30,MATCH("Tourelle Tek",Détail!$B$5:$B$30,0)),0)</f>
        <v>100</v>
      </c>
      <c r="D60" s="7" t="n">
        <f aca="false">IFERROR(INDEX(Détail!$F$5:$F$30,MATCH("Tourelle Tek",Détail!$B$5:$B$30,0)),0)</f>
        <v>50</v>
      </c>
      <c r="E60" s="7" t="n">
        <f aca="false">IFERROR(INDEX(Détail!$G$5:$G$30,MATCH("Tourelle Tek",Détail!$B$5:$B$30,0)),0)</f>
        <v>100</v>
      </c>
      <c r="F60" s="7" t="n">
        <f aca="false">IFERROR(INDEX(Détail!$H$5:$H$30,MATCH("Tourelle Tek",Détail!$B$5:$B$30,0)),0)</f>
        <v>50</v>
      </c>
      <c r="G60" s="7" t="n">
        <f aca="false">IFERROR(INDEX(Détail!$I$5:$I$30,MATCH("Tourelle Tek",Détail!$B$5:$B$30,0)),0)</f>
        <v>0</v>
      </c>
      <c r="H60" s="7" t="n">
        <f aca="false">IFERROR(INDEX(Détail!$J$5:$J$30,MATCH("Tourelle Tek",Détail!$B$5:$B$30,0)),0)</f>
        <v>3</v>
      </c>
      <c r="I60" s="7" t="n">
        <f aca="false">IFERROR(INDEX(Détail!$K$5:$K$30,MATCH("Tourelle Tek",Détail!$B$5:$B$30,0)),0)</f>
        <v>0</v>
      </c>
      <c r="J60" s="7" t="n">
        <f aca="false">IFERROR(INDEX(Détail!$L$5:$L$30,MATCH("Tourelle Tek",Détail!$B$5:$B$30,0)),0)</f>
        <v>0</v>
      </c>
      <c r="K60" s="7" t="n">
        <f aca="false">IFERROR(INDEX(Détail!$M$5:$M$30,MATCH("Tourelle Tek",Détail!$B$5:$B$30,0)),0)</f>
        <v>0</v>
      </c>
      <c r="L60" s="7" t="n">
        <f aca="false">IFERROR(INDEX(Détail!$N$5:$N$30,MATCH("Tourelle Tek",Détail!$B$5:$B$30,0)),0)</f>
        <v>0</v>
      </c>
      <c r="M60" s="7" t="n">
        <f aca="false">IFERROR(INDEX(Détail!$O$5:$O$30,MATCH("Tourelle Tek",Détail!$B$5:$B$30,0)),0)</f>
        <v>0</v>
      </c>
      <c r="N60" s="7" t="n">
        <f aca="false">IFERROR(INDEX(Détail!$P$5:$P$30,MATCH("Tourelle Tek",Détail!$B$5:$B$30,0)),0)</f>
        <v>0</v>
      </c>
      <c r="O60" s="7" t="n">
        <f aca="false">IFERROR(INDEX(Détail!$Q$5:$Q$30,MATCH("Tourelle Tek",Détail!$B$5:$B$30,0)),0)</f>
        <v>0</v>
      </c>
      <c r="P60" s="7" t="n">
        <f aca="false">IFERROR(INDEX(Détail!$R$5:$R$30,MATCH("Tourelle Tek",Détail!$B$5:$B$30,0)),0)</f>
        <v>0</v>
      </c>
      <c r="Q60" s="14" t="n">
        <f aca="false">$B60*C60</f>
        <v>1800</v>
      </c>
      <c r="R60" s="14" t="n">
        <f aca="false">$B60*D60</f>
        <v>900</v>
      </c>
      <c r="S60" s="14" t="n">
        <f aca="false">$B60*E60</f>
        <v>1800</v>
      </c>
      <c r="T60" s="14" t="n">
        <f aca="false">$B60*F60</f>
        <v>900</v>
      </c>
      <c r="U60" s="14" t="n">
        <f aca="false">$B60*G60</f>
        <v>0</v>
      </c>
      <c r="V60" s="14" t="n">
        <f aca="false">$B60*H60</f>
        <v>54</v>
      </c>
      <c r="W60" s="14" t="n">
        <f aca="false">$B60*I60</f>
        <v>0</v>
      </c>
      <c r="X60" s="14" t="n">
        <f aca="false">$B60*J60</f>
        <v>0</v>
      </c>
      <c r="Y60" s="14" t="n">
        <f aca="false">$B60*K60</f>
        <v>0</v>
      </c>
      <c r="Z60" s="14" t="n">
        <f aca="false">$B60*L60</f>
        <v>0</v>
      </c>
      <c r="AA60" s="14" t="n">
        <f aca="false">$B60*M60</f>
        <v>0</v>
      </c>
      <c r="AB60" s="14" t="n">
        <f aca="false">$B60*N60</f>
        <v>0</v>
      </c>
      <c r="AC60" s="14" t="n">
        <f aca="false">$B60*O60</f>
        <v>0</v>
      </c>
      <c r="AD60" s="14" t="n">
        <f aca="false">$B60*P60</f>
        <v>0</v>
      </c>
    </row>
    <row r="61" customFormat="false" ht="15" hidden="false" customHeight="false" outlineLevel="0" collapsed="false">
      <c r="A61" s="6" t="s">
        <v>124</v>
      </c>
      <c r="B61" s="16" t="n">
        <v>6</v>
      </c>
      <c r="C61" s="7" t="n">
        <f aca="false">IFERROR(INDEX(Détail!$E$5:$E$30,MATCH("Bobine Tesla",Détail!$B$5:$B$30,0)),0)</f>
        <v>500</v>
      </c>
      <c r="D61" s="7" t="n">
        <f aca="false">IFERROR(INDEX(Détail!$F$5:$F$30,MATCH("Bobine Tesla",Détail!$B$5:$B$30,0)),0)</f>
        <v>0</v>
      </c>
      <c r="E61" s="7" t="n">
        <f aca="false">IFERROR(INDEX(Détail!$G$5:$G$30,MATCH("Bobine Tesla",Détail!$B$5:$B$30,0)),0)</f>
        <v>100</v>
      </c>
      <c r="F61" s="7" t="n">
        <f aca="false">IFERROR(INDEX(Détail!$H$5:$H$30,MATCH("Bobine Tesla",Détail!$B$5:$B$30,0)),0)</f>
        <v>300</v>
      </c>
      <c r="G61" s="7" t="n">
        <f aca="false">IFERROR(INDEX(Détail!$I$5:$I$30,MATCH("Bobine Tesla",Détail!$B$5:$B$30,0)),0)</f>
        <v>200</v>
      </c>
      <c r="H61" s="7" t="n">
        <f aca="false">IFERROR(INDEX(Détail!$J$5:$J$30,MATCH("Bobine Tesla",Détail!$B$5:$B$30,0)),0)</f>
        <v>0</v>
      </c>
      <c r="I61" s="7" t="n">
        <f aca="false">IFERROR(INDEX(Détail!$K$5:$K$30,MATCH("Bobine Tesla",Détail!$B$5:$B$30,0)),0)</f>
        <v>0</v>
      </c>
      <c r="J61" s="7" t="n">
        <f aca="false">IFERROR(INDEX(Détail!$L$5:$L$30,MATCH("Bobine Tesla",Détail!$B$5:$B$30,0)),0)</f>
        <v>0</v>
      </c>
      <c r="K61" s="7" t="n">
        <f aca="false">IFERROR(INDEX(Détail!$M$5:$M$30,MATCH("Bobine Tesla",Détail!$B$5:$B$30,0)),0)</f>
        <v>0</v>
      </c>
      <c r="L61" s="7" t="n">
        <f aca="false">IFERROR(INDEX(Détail!$N$5:$N$30,MATCH("Bobine Tesla",Détail!$B$5:$B$30,0)),0)</f>
        <v>0</v>
      </c>
      <c r="M61" s="7" t="n">
        <f aca="false">IFERROR(INDEX(Détail!$O$5:$O$30,MATCH("Bobine Tesla",Détail!$B$5:$B$30,0)),0)</f>
        <v>0</v>
      </c>
      <c r="N61" s="7" t="n">
        <f aca="false">IFERROR(INDEX(Détail!$P$5:$P$30,MATCH("Bobine Tesla",Détail!$B$5:$B$30,0)),0)</f>
        <v>0</v>
      </c>
      <c r="O61" s="7" t="n">
        <f aca="false">IFERROR(INDEX(Détail!$Q$5:$Q$30,MATCH("Bobine Tesla",Détail!$B$5:$B$30,0)),0)</f>
        <v>0</v>
      </c>
      <c r="P61" s="7" t="n">
        <f aca="false">IFERROR(INDEX(Détail!$R$5:$R$30,MATCH("Bobine Tesla",Détail!$B$5:$B$30,0)),0)</f>
        <v>0</v>
      </c>
      <c r="Q61" s="14" t="n">
        <f aca="false">$B61*C61</f>
        <v>3000</v>
      </c>
      <c r="R61" s="14" t="n">
        <f aca="false">$B61*D61</f>
        <v>0</v>
      </c>
      <c r="S61" s="14" t="n">
        <f aca="false">$B61*E61</f>
        <v>600</v>
      </c>
      <c r="T61" s="14" t="n">
        <f aca="false">$B61*F61</f>
        <v>1800</v>
      </c>
      <c r="U61" s="14" t="n">
        <f aca="false">$B61*G61</f>
        <v>1200</v>
      </c>
      <c r="V61" s="14" t="n">
        <f aca="false">$B61*H61</f>
        <v>0</v>
      </c>
      <c r="W61" s="14" t="n">
        <f aca="false">$B61*I61</f>
        <v>0</v>
      </c>
      <c r="X61" s="14" t="n">
        <f aca="false">$B61*J61</f>
        <v>0</v>
      </c>
      <c r="Y61" s="14" t="n">
        <f aca="false">$B61*K61</f>
        <v>0</v>
      </c>
      <c r="Z61" s="14" t="n">
        <f aca="false">$B61*L61</f>
        <v>0</v>
      </c>
      <c r="AA61" s="14" t="n">
        <f aca="false">$B61*M61</f>
        <v>0</v>
      </c>
      <c r="AB61" s="14" t="n">
        <f aca="false">$B61*N61</f>
        <v>0</v>
      </c>
      <c r="AC61" s="14" t="n">
        <f aca="false">$B61*O61</f>
        <v>0</v>
      </c>
      <c r="AD61" s="14" t="n">
        <f aca="false">$B61*P61</f>
        <v>0</v>
      </c>
    </row>
    <row r="62" customFormat="false" ht="15" hidden="false" customHeight="false" outlineLevel="0" collapsed="false">
      <c r="A62" s="6" t="s">
        <v>125</v>
      </c>
      <c r="B62" s="16" t="n">
        <v>5</v>
      </c>
      <c r="C62" s="7" t="n">
        <f aca="false">IFERROR(INDEX(Détail!$E$5:$E$30,MATCH("Grand carré de culture (Plant Species X)",Détail!$B$5:$B$30,0)),0)</f>
        <v>0</v>
      </c>
      <c r="D62" s="7" t="n">
        <f aca="false">IFERROR(INDEX(Détail!$F$5:$F$30,MATCH("Grand carré de culture (Plant Species X)",Détail!$B$5:$B$30,0)),0)</f>
        <v>0</v>
      </c>
      <c r="E62" s="7" t="n">
        <f aca="false">IFERROR(INDEX(Détail!$G$5:$G$30,MATCH("Grand carré de culture (Plant Species X)",Détail!$B$5:$B$30,0)),0)</f>
        <v>0</v>
      </c>
      <c r="F62" s="7" t="n">
        <f aca="false">IFERROR(INDEX(Détail!$H$5:$H$30,MATCH("Grand carré de culture (Plant Species X)",Détail!$B$5:$B$30,0)),0)</f>
        <v>0</v>
      </c>
      <c r="G62" s="7" t="n">
        <f aca="false">IFERROR(INDEX(Détail!$I$5:$I$30,MATCH("Grand carré de culture (Plant Species X)",Détail!$B$5:$B$30,0)),0)</f>
        <v>0</v>
      </c>
      <c r="H62" s="7" t="n">
        <f aca="false">IFERROR(INDEX(Détail!$J$5:$J$30,MATCH("Grand carré de culture (Plant Species X)",Détail!$B$5:$B$30,0)),0)</f>
        <v>0</v>
      </c>
      <c r="I62" s="7" t="n">
        <f aca="false">IFERROR(INDEX(Détail!$K$5:$K$30,MATCH("Grand carré de culture (Plant Species X)",Détail!$B$5:$B$30,0)),0)</f>
        <v>0</v>
      </c>
      <c r="J62" s="7" t="n">
        <f aca="false">IFERROR(INDEX(Détail!$L$5:$L$30,MATCH("Grand carré de culture (Plant Species X)",Détail!$B$5:$B$30,0)),0)</f>
        <v>0</v>
      </c>
      <c r="K62" s="7" t="n">
        <f aca="false">IFERROR(INDEX(Détail!$M$5:$M$30,MATCH("Grand carré de culture (Plant Species X)",Détail!$B$5:$B$30,0)),0)</f>
        <v>0</v>
      </c>
      <c r="L62" s="7" t="n">
        <f aca="false">IFERROR(INDEX(Détail!$N$5:$N$30,MATCH("Grand carré de culture (Plant Species X)",Détail!$B$5:$B$30,0)),0)</f>
        <v>0</v>
      </c>
      <c r="M62" s="7" t="n">
        <f aca="false">IFERROR(INDEX(Détail!$O$5:$O$30,MATCH("Grand carré de culture (Plant Species X)",Détail!$B$5:$B$30,0)),0)</f>
        <v>40</v>
      </c>
      <c r="N62" s="7" t="n">
        <f aca="false">IFERROR(INDEX(Détail!$P$5:$P$30,MATCH("Grand carré de culture (Plant Species X)",Détail!$B$5:$B$30,0)),0)</f>
        <v>50</v>
      </c>
      <c r="O62" s="7" t="n">
        <f aca="false">IFERROR(INDEX(Détail!$Q$5:$Q$30,MATCH("Grand carré de culture (Plant Species X)",Détail!$B$5:$B$30,0)),0)</f>
        <v>40</v>
      </c>
      <c r="P62" s="7" t="n">
        <f aca="false">IFERROR(INDEX(Détail!$R$5:$R$30,MATCH("Grand carré de culture (Plant Species X)",Détail!$B$5:$B$30,0)),0)</f>
        <v>100</v>
      </c>
      <c r="Q62" s="14" t="n">
        <f aca="false">$B62*C62</f>
        <v>0</v>
      </c>
      <c r="R62" s="14" t="n">
        <f aca="false">$B62*D62</f>
        <v>0</v>
      </c>
      <c r="S62" s="14" t="n">
        <f aca="false">$B62*E62</f>
        <v>0</v>
      </c>
      <c r="T62" s="14" t="n">
        <f aca="false">$B62*F62</f>
        <v>0</v>
      </c>
      <c r="U62" s="14" t="n">
        <f aca="false">$B62*G62</f>
        <v>0</v>
      </c>
      <c r="V62" s="14" t="n">
        <f aca="false">$B62*H62</f>
        <v>0</v>
      </c>
      <c r="W62" s="14" t="n">
        <f aca="false">$B62*I62</f>
        <v>0</v>
      </c>
      <c r="X62" s="14" t="n">
        <f aca="false">$B62*J62</f>
        <v>0</v>
      </c>
      <c r="Y62" s="14" t="n">
        <f aca="false">$B62*K62</f>
        <v>0</v>
      </c>
      <c r="Z62" s="14" t="n">
        <f aca="false">$B62*L62</f>
        <v>0</v>
      </c>
      <c r="AA62" s="14" t="n">
        <f aca="false">$B62*M62</f>
        <v>200</v>
      </c>
      <c r="AB62" s="14" t="n">
        <f aca="false">$B62*N62</f>
        <v>250</v>
      </c>
      <c r="AC62" s="14" t="n">
        <f aca="false">$B62*O62</f>
        <v>200</v>
      </c>
      <c r="AD62" s="14" t="n">
        <f aca="false">$B62*P62</f>
        <v>500</v>
      </c>
    </row>
    <row r="63" customFormat="false" ht="15" hidden="false" customHeight="false" outlineLevel="0" collapsed="false">
      <c r="A63" s="8" t="s">
        <v>99</v>
      </c>
      <c r="B63" s="9" t="n">
        <f aca="false">SUM(B59:B62)</f>
        <v>70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9" t="n">
        <f aca="false">SUM(Q59:Q62)</f>
        <v>26940</v>
      </c>
      <c r="R63" s="9" t="n">
        <f aca="false">SUM(R59:R62)</f>
        <v>9100</v>
      </c>
      <c r="S63" s="9" t="n">
        <f aca="false">SUM(S59:S62)</f>
        <v>13470</v>
      </c>
      <c r="T63" s="9" t="n">
        <f aca="false">SUM(T59:T62)</f>
        <v>5570</v>
      </c>
      <c r="U63" s="9" t="n">
        <f aca="false">SUM(U59:U62)</f>
        <v>1200</v>
      </c>
      <c r="V63" s="9" t="n">
        <f aca="false">SUM(V59:V62)</f>
        <v>54</v>
      </c>
      <c r="W63" s="9" t="n">
        <f aca="false">SUM(W59:W62)</f>
        <v>0</v>
      </c>
      <c r="X63" s="9" t="n">
        <f aca="false">SUM(X59:X62)</f>
        <v>0</v>
      </c>
      <c r="Y63" s="9" t="n">
        <f aca="false">SUM(Y59:Y62)</f>
        <v>0</v>
      </c>
      <c r="Z63" s="9" t="n">
        <f aca="false">SUM(Z59:Z62)</f>
        <v>0</v>
      </c>
      <c r="AA63" s="9" t="n">
        <f aca="false">SUM(AA59:AA62)</f>
        <v>200</v>
      </c>
      <c r="AB63" s="9" t="n">
        <f aca="false">SUM(AB59:AB62)</f>
        <v>250</v>
      </c>
      <c r="AC63" s="9" t="n">
        <f aca="false">SUM(AC59:AC62)</f>
        <v>200</v>
      </c>
      <c r="AD63" s="9" t="n">
        <f aca="false">SUM(AD59:AD62)</f>
        <v>500</v>
      </c>
    </row>
    <row r="64" customFormat="false" ht="15" hidden="false" customHeight="false" outlineLevel="0" collapsed="false">
      <c r="A64" s="8" t="s">
        <v>36</v>
      </c>
      <c r="B64" s="9" t="n">
        <f aca="false">SUM(B59:B62)-SUMIF(A59:A62,"* (inventaire)",B59:B62)</f>
        <v>5</v>
      </c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9" t="n">
        <f aca="false">SUM(Q59:Q62)-SUMIF(A59:A62,"* (inventaire)",Q59:Q62)</f>
        <v>0</v>
      </c>
      <c r="R64" s="9" t="n">
        <f aca="false">SUM(R59:R62)-SUMIF(A59:A62,"* (inventaire)",R59:R62)</f>
        <v>0</v>
      </c>
      <c r="S64" s="9" t="n">
        <f aca="false">SUM(S59:S62)-SUMIF(A59:A62,"* (inventaire)",S59:S62)</f>
        <v>0</v>
      </c>
      <c r="T64" s="9" t="n">
        <f aca="false">SUM(T59:T62)-SUMIF(A59:A62,"* (inventaire)",T59:T62)</f>
        <v>0</v>
      </c>
      <c r="U64" s="9" t="n">
        <f aca="false">SUM(U59:U62)-SUMIF(A59:A62,"* (inventaire)",U59:U62)</f>
        <v>0</v>
      </c>
      <c r="V64" s="9" t="n">
        <f aca="false">SUM(V59:V62)-SUMIF(A59:A62,"* (inventaire)",V59:V62)</f>
        <v>0</v>
      </c>
      <c r="W64" s="9" t="n">
        <f aca="false">SUM(W59:W62)-SUMIF(A59:A62,"* (inventaire)",W59:W62)</f>
        <v>0</v>
      </c>
      <c r="X64" s="9" t="n">
        <f aca="false">SUM(X59:X62)-SUMIF(A59:A62,"* (inventaire)",X59:X62)</f>
        <v>0</v>
      </c>
      <c r="Y64" s="9" t="n">
        <f aca="false">SUM(Y59:Y62)-SUMIF(A59:A62,"* (inventaire)",Y59:Y62)</f>
        <v>0</v>
      </c>
      <c r="Z64" s="9" t="n">
        <f aca="false">SUM(Z59:Z62)-SUMIF(A59:A62,"* (inventaire)",Z59:Z62)</f>
        <v>0</v>
      </c>
      <c r="AA64" s="9" t="n">
        <f aca="false">SUM(AA59:AA62)-SUMIF(A59:A62,"* (inventaire)",AA59:AA62)</f>
        <v>200</v>
      </c>
      <c r="AB64" s="9" t="n">
        <f aca="false">SUM(AB59:AB62)-SUMIF(A59:A62,"* (inventaire)",AB59:AB62)</f>
        <v>250</v>
      </c>
      <c r="AC64" s="9" t="n">
        <f aca="false">SUM(AC59:AC62)-SUMIF(A59:A62,"* (inventaire)",AC59:AC62)</f>
        <v>200</v>
      </c>
      <c r="AD64" s="9" t="n">
        <f aca="false">SUM(AD59:AD62)-SUMIF(A59:A62,"* (inventaire)",AD59:AD62)</f>
        <v>500</v>
      </c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5" hidden="false" customHeight="false" outlineLevel="0" collapsed="false">
      <c r="A66" s="15" t="s">
        <v>126</v>
      </c>
      <c r="B66" s="2"/>
      <c r="C66" s="3" t="s">
        <v>127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30" hidden="false" customHeight="true" outlineLevel="0" collapsed="false">
      <c r="A67" s="11" t="s">
        <v>67</v>
      </c>
      <c r="B67" s="11" t="s">
        <v>68</v>
      </c>
      <c r="C67" s="11" t="s">
        <v>69</v>
      </c>
      <c r="D67" s="11" t="s">
        <v>70</v>
      </c>
      <c r="E67" s="11" t="s">
        <v>71</v>
      </c>
      <c r="F67" s="11" t="s">
        <v>72</v>
      </c>
      <c r="G67" s="11" t="s">
        <v>73</v>
      </c>
      <c r="H67" s="11" t="s">
        <v>74</v>
      </c>
      <c r="I67" s="11" t="s">
        <v>75</v>
      </c>
      <c r="J67" s="11" t="s">
        <v>76</v>
      </c>
      <c r="K67" s="11" t="s">
        <v>77</v>
      </c>
      <c r="L67" s="11" t="s">
        <v>78</v>
      </c>
      <c r="M67" s="11" t="s">
        <v>79</v>
      </c>
      <c r="N67" s="11" t="s">
        <v>80</v>
      </c>
      <c r="O67" s="11" t="s">
        <v>81</v>
      </c>
      <c r="P67" s="11" t="s">
        <v>82</v>
      </c>
      <c r="Q67" s="11" t="s">
        <v>83</v>
      </c>
      <c r="R67" s="11" t="s">
        <v>84</v>
      </c>
      <c r="S67" s="11" t="s">
        <v>85</v>
      </c>
      <c r="T67" s="11" t="s">
        <v>86</v>
      </c>
      <c r="U67" s="11" t="s">
        <v>87</v>
      </c>
      <c r="V67" s="11" t="s">
        <v>88</v>
      </c>
      <c r="W67" s="11" t="s">
        <v>89</v>
      </c>
      <c r="X67" s="11" t="s">
        <v>90</v>
      </c>
      <c r="Y67" s="11" t="s">
        <v>91</v>
      </c>
      <c r="Z67" s="11" t="s">
        <v>92</v>
      </c>
      <c r="AA67" s="11" t="s">
        <v>93</v>
      </c>
      <c r="AB67" s="11" t="s">
        <v>94</v>
      </c>
      <c r="AC67" s="11" t="s">
        <v>95</v>
      </c>
      <c r="AD67" s="11" t="s">
        <v>96</v>
      </c>
    </row>
    <row r="68" customFormat="false" ht="15" hidden="false" customHeight="false" outlineLevel="0" collapsed="false">
      <c r="A68" s="6" t="s">
        <v>128</v>
      </c>
      <c r="B68" s="16" t="n">
        <v>6</v>
      </c>
      <c r="C68" s="7" t="n">
        <f aca="false">IFERROR(INDEX(Détail!$E$5:$E$30,MATCH("Carré de culture moyen (Plant Species X)",Détail!$B$5:$B$30,0)),0)</f>
        <v>0</v>
      </c>
      <c r="D68" s="7" t="n">
        <f aca="false">IFERROR(INDEX(Détail!$F$5:$F$30,MATCH("Carré de culture moyen (Plant Species X)",Détail!$B$5:$B$30,0)),0)</f>
        <v>0</v>
      </c>
      <c r="E68" s="7" t="n">
        <f aca="false">IFERROR(INDEX(Détail!$G$5:$G$30,MATCH("Carré de culture moyen (Plant Species X)",Détail!$B$5:$B$30,0)),0)</f>
        <v>0</v>
      </c>
      <c r="F68" s="7" t="n">
        <f aca="false">IFERROR(INDEX(Détail!$H$5:$H$30,MATCH("Carré de culture moyen (Plant Species X)",Détail!$B$5:$B$30,0)),0)</f>
        <v>0</v>
      </c>
      <c r="G68" s="7" t="n">
        <f aca="false">IFERROR(INDEX(Détail!$I$5:$I$30,MATCH("Carré de culture moyen (Plant Species X)",Détail!$B$5:$B$30,0)),0)</f>
        <v>0</v>
      </c>
      <c r="H68" s="7" t="n">
        <f aca="false">IFERROR(INDEX(Détail!$J$5:$J$30,MATCH("Carré de culture moyen (Plant Species X)",Détail!$B$5:$B$30,0)),0)</f>
        <v>0</v>
      </c>
      <c r="I68" s="7" t="n">
        <f aca="false">IFERROR(INDEX(Détail!$K$5:$K$30,MATCH("Carré de culture moyen (Plant Species X)",Détail!$B$5:$B$30,0)),0)</f>
        <v>0</v>
      </c>
      <c r="J68" s="7" t="n">
        <f aca="false">IFERROR(INDEX(Détail!$L$5:$L$30,MATCH("Carré de culture moyen (Plant Species X)",Détail!$B$5:$B$30,0)),0)</f>
        <v>0</v>
      </c>
      <c r="K68" s="7" t="n">
        <f aca="false">IFERROR(INDEX(Détail!$M$5:$M$30,MATCH("Carré de culture moyen (Plant Species X)",Détail!$B$5:$B$30,0)),0)</f>
        <v>0</v>
      </c>
      <c r="L68" s="7" t="n">
        <f aca="false">IFERROR(INDEX(Détail!$N$5:$N$30,MATCH("Carré de culture moyen (Plant Species X)",Détail!$B$5:$B$30,0)),0)</f>
        <v>0</v>
      </c>
      <c r="M68" s="7" t="n">
        <f aca="false">IFERROR(INDEX(Détail!$O$5:$O$30,MATCH("Carré de culture moyen (Plant Species X)",Détail!$B$5:$B$30,0)),0)</f>
        <v>30</v>
      </c>
      <c r="N68" s="7" t="n">
        <f aca="false">IFERROR(INDEX(Détail!$P$5:$P$30,MATCH("Carré de culture moyen (Plant Species X)",Détail!$B$5:$B$30,0)),0)</f>
        <v>20</v>
      </c>
      <c r="O68" s="7" t="n">
        <f aca="false">IFERROR(INDEX(Détail!$Q$5:$Q$30,MATCH("Carré de culture moyen (Plant Species X)",Détail!$B$5:$B$30,0)),0)</f>
        <v>0</v>
      </c>
      <c r="P68" s="7" t="n">
        <f aca="false">IFERROR(INDEX(Détail!$R$5:$R$30,MATCH("Carré de culture moyen (Plant Species X)",Détail!$B$5:$B$30,0)),0)</f>
        <v>50</v>
      </c>
      <c r="Q68" s="14" t="n">
        <f aca="false">$B68*C68</f>
        <v>0</v>
      </c>
      <c r="R68" s="14" t="n">
        <f aca="false">$B68*D68</f>
        <v>0</v>
      </c>
      <c r="S68" s="14" t="n">
        <f aca="false">$B68*E68</f>
        <v>0</v>
      </c>
      <c r="T68" s="14" t="n">
        <f aca="false">$B68*F68</f>
        <v>0</v>
      </c>
      <c r="U68" s="14" t="n">
        <f aca="false">$B68*G68</f>
        <v>0</v>
      </c>
      <c r="V68" s="14" t="n">
        <f aca="false">$B68*H68</f>
        <v>0</v>
      </c>
      <c r="W68" s="14" t="n">
        <f aca="false">$B68*I68</f>
        <v>0</v>
      </c>
      <c r="X68" s="14" t="n">
        <f aca="false">$B68*J68</f>
        <v>0</v>
      </c>
      <c r="Y68" s="14" t="n">
        <f aca="false">$B68*K68</f>
        <v>0</v>
      </c>
      <c r="Z68" s="14" t="n">
        <f aca="false">$B68*L68</f>
        <v>0</v>
      </c>
      <c r="AA68" s="14" t="n">
        <f aca="false">$B68*M68</f>
        <v>180</v>
      </c>
      <c r="AB68" s="14" t="n">
        <f aca="false">$B68*N68</f>
        <v>120</v>
      </c>
      <c r="AC68" s="14" t="n">
        <f aca="false">$B68*O68</f>
        <v>0</v>
      </c>
      <c r="AD68" s="14" t="n">
        <f aca="false">$B68*P68</f>
        <v>300</v>
      </c>
    </row>
    <row r="69" customFormat="false" ht="15" hidden="false" customHeight="false" outlineLevel="0" collapsed="false">
      <c r="A69" s="6" t="s">
        <v>122</v>
      </c>
      <c r="B69" s="16" t="n">
        <v>6</v>
      </c>
      <c r="C69" s="7" t="n">
        <f aca="false">IFERROR(INDEX(Détail!$E$5:$E$30,MATCH("Tourelle lourde (Heavy)",Détail!$B$5:$B$30,0)),0)</f>
        <v>540</v>
      </c>
      <c r="D69" s="7" t="n">
        <f aca="false">IFERROR(INDEX(Détail!$F$5:$F$30,MATCH("Tourelle lourde (Heavy)",Détail!$B$5:$B$30,0)),0)</f>
        <v>200</v>
      </c>
      <c r="E69" s="7" t="n">
        <f aca="false">IFERROR(INDEX(Détail!$G$5:$G$30,MATCH("Tourelle lourde (Heavy)",Détail!$B$5:$B$30,0)),0)</f>
        <v>270</v>
      </c>
      <c r="F69" s="7" t="n">
        <f aca="false">IFERROR(INDEX(Détail!$H$5:$H$30,MATCH("Tourelle lourde (Heavy)",Détail!$B$5:$B$30,0)),0)</f>
        <v>70</v>
      </c>
      <c r="G69" s="7" t="n">
        <f aca="false">IFERROR(INDEX(Détail!$I$5:$I$30,MATCH("Tourelle lourde (Heavy)",Détail!$B$5:$B$30,0)),0)</f>
        <v>0</v>
      </c>
      <c r="H69" s="7" t="n">
        <f aca="false">IFERROR(INDEX(Détail!$J$5:$J$30,MATCH("Tourelle lourde (Heavy)",Détail!$B$5:$B$30,0)),0)</f>
        <v>0</v>
      </c>
      <c r="I69" s="7" t="n">
        <f aca="false">IFERROR(INDEX(Détail!$K$5:$K$30,MATCH("Tourelle lourde (Heavy)",Détail!$B$5:$B$30,0)),0)</f>
        <v>0</v>
      </c>
      <c r="J69" s="7" t="n">
        <f aca="false">IFERROR(INDEX(Détail!$L$5:$L$30,MATCH("Tourelle lourde (Heavy)",Détail!$B$5:$B$30,0)),0)</f>
        <v>0</v>
      </c>
      <c r="K69" s="7" t="n">
        <f aca="false">IFERROR(INDEX(Détail!$M$5:$M$30,MATCH("Tourelle lourde (Heavy)",Détail!$B$5:$B$30,0)),0)</f>
        <v>0</v>
      </c>
      <c r="L69" s="7" t="n">
        <f aca="false">IFERROR(INDEX(Détail!$N$5:$N$30,MATCH("Tourelle lourde (Heavy)",Détail!$B$5:$B$30,0)),0)</f>
        <v>0</v>
      </c>
      <c r="M69" s="7" t="n">
        <f aca="false">IFERROR(INDEX(Détail!$O$5:$O$30,MATCH("Tourelle lourde (Heavy)",Détail!$B$5:$B$30,0)),0)</f>
        <v>0</v>
      </c>
      <c r="N69" s="7" t="n">
        <f aca="false">IFERROR(INDEX(Détail!$P$5:$P$30,MATCH("Tourelle lourde (Heavy)",Détail!$B$5:$B$30,0)),0)</f>
        <v>0</v>
      </c>
      <c r="O69" s="7" t="n">
        <f aca="false">IFERROR(INDEX(Détail!$Q$5:$Q$30,MATCH("Tourelle lourde (Heavy)",Détail!$B$5:$B$30,0)),0)</f>
        <v>0</v>
      </c>
      <c r="P69" s="7" t="n">
        <f aca="false">IFERROR(INDEX(Détail!$R$5:$R$30,MATCH("Tourelle lourde (Heavy)",Détail!$B$5:$B$30,0)),0)</f>
        <v>0</v>
      </c>
      <c r="Q69" s="14" t="n">
        <f aca="false">$B69*C69</f>
        <v>3240</v>
      </c>
      <c r="R69" s="14" t="n">
        <f aca="false">$B69*D69</f>
        <v>1200</v>
      </c>
      <c r="S69" s="14" t="n">
        <f aca="false">$B69*E69</f>
        <v>1620</v>
      </c>
      <c r="T69" s="14" t="n">
        <f aca="false">$B69*F69</f>
        <v>420</v>
      </c>
      <c r="U69" s="14" t="n">
        <f aca="false">$B69*G69</f>
        <v>0</v>
      </c>
      <c r="V69" s="14" t="n">
        <f aca="false">$B69*H69</f>
        <v>0</v>
      </c>
      <c r="W69" s="14" t="n">
        <f aca="false">$B69*I69</f>
        <v>0</v>
      </c>
      <c r="X69" s="14" t="n">
        <f aca="false">$B69*J69</f>
        <v>0</v>
      </c>
      <c r="Y69" s="14" t="n">
        <f aca="false">$B69*K69</f>
        <v>0</v>
      </c>
      <c r="Z69" s="14" t="n">
        <f aca="false">$B69*L69</f>
        <v>0</v>
      </c>
      <c r="AA69" s="14" t="n">
        <f aca="false">$B69*M69</f>
        <v>0</v>
      </c>
      <c r="AB69" s="14" t="n">
        <f aca="false">$B69*N69</f>
        <v>0</v>
      </c>
      <c r="AC69" s="14" t="n">
        <f aca="false">$B69*O69</f>
        <v>0</v>
      </c>
      <c r="AD69" s="14" t="n">
        <f aca="false">$B69*P69</f>
        <v>0</v>
      </c>
    </row>
    <row r="70" customFormat="false" ht="15" hidden="false" customHeight="false" outlineLevel="0" collapsed="false">
      <c r="A70" s="6" t="s">
        <v>123</v>
      </c>
      <c r="B70" s="16" t="n">
        <v>6</v>
      </c>
      <c r="C70" s="7" t="n">
        <f aca="false">IFERROR(INDEX(Détail!$E$5:$E$30,MATCH("Tourelle Tek",Détail!$B$5:$B$30,0)),0)</f>
        <v>100</v>
      </c>
      <c r="D70" s="7" t="n">
        <f aca="false">IFERROR(INDEX(Détail!$F$5:$F$30,MATCH("Tourelle Tek",Détail!$B$5:$B$30,0)),0)</f>
        <v>50</v>
      </c>
      <c r="E70" s="7" t="n">
        <f aca="false">IFERROR(INDEX(Détail!$G$5:$G$30,MATCH("Tourelle Tek",Détail!$B$5:$B$30,0)),0)</f>
        <v>100</v>
      </c>
      <c r="F70" s="7" t="n">
        <f aca="false">IFERROR(INDEX(Détail!$H$5:$H$30,MATCH("Tourelle Tek",Détail!$B$5:$B$30,0)),0)</f>
        <v>50</v>
      </c>
      <c r="G70" s="7" t="n">
        <f aca="false">IFERROR(INDEX(Détail!$I$5:$I$30,MATCH("Tourelle Tek",Détail!$B$5:$B$30,0)),0)</f>
        <v>0</v>
      </c>
      <c r="H70" s="7" t="n">
        <f aca="false">IFERROR(INDEX(Détail!$J$5:$J$30,MATCH("Tourelle Tek",Détail!$B$5:$B$30,0)),0)</f>
        <v>3</v>
      </c>
      <c r="I70" s="7" t="n">
        <f aca="false">IFERROR(INDEX(Détail!$K$5:$K$30,MATCH("Tourelle Tek",Détail!$B$5:$B$30,0)),0)</f>
        <v>0</v>
      </c>
      <c r="J70" s="7" t="n">
        <f aca="false">IFERROR(INDEX(Détail!$L$5:$L$30,MATCH("Tourelle Tek",Détail!$B$5:$B$30,0)),0)</f>
        <v>0</v>
      </c>
      <c r="K70" s="7" t="n">
        <f aca="false">IFERROR(INDEX(Détail!$M$5:$M$30,MATCH("Tourelle Tek",Détail!$B$5:$B$30,0)),0)</f>
        <v>0</v>
      </c>
      <c r="L70" s="7" t="n">
        <f aca="false">IFERROR(INDEX(Détail!$N$5:$N$30,MATCH("Tourelle Tek",Détail!$B$5:$B$30,0)),0)</f>
        <v>0</v>
      </c>
      <c r="M70" s="7" t="n">
        <f aca="false">IFERROR(INDEX(Détail!$O$5:$O$30,MATCH("Tourelle Tek",Détail!$B$5:$B$30,0)),0)</f>
        <v>0</v>
      </c>
      <c r="N70" s="7" t="n">
        <f aca="false">IFERROR(INDEX(Détail!$P$5:$P$30,MATCH("Tourelle Tek",Détail!$B$5:$B$30,0)),0)</f>
        <v>0</v>
      </c>
      <c r="O70" s="7" t="n">
        <f aca="false">IFERROR(INDEX(Détail!$Q$5:$Q$30,MATCH("Tourelle Tek",Détail!$B$5:$B$30,0)),0)</f>
        <v>0</v>
      </c>
      <c r="P70" s="7" t="n">
        <f aca="false">IFERROR(INDEX(Détail!$R$5:$R$30,MATCH("Tourelle Tek",Détail!$B$5:$B$30,0)),0)</f>
        <v>0</v>
      </c>
      <c r="Q70" s="14" t="n">
        <f aca="false">$B70*C70</f>
        <v>600</v>
      </c>
      <c r="R70" s="14" t="n">
        <f aca="false">$B70*D70</f>
        <v>300</v>
      </c>
      <c r="S70" s="14" t="n">
        <f aca="false">$B70*E70</f>
        <v>600</v>
      </c>
      <c r="T70" s="14" t="n">
        <f aca="false">$B70*F70</f>
        <v>300</v>
      </c>
      <c r="U70" s="14" t="n">
        <f aca="false">$B70*G70</f>
        <v>0</v>
      </c>
      <c r="V70" s="14" t="n">
        <f aca="false">$B70*H70</f>
        <v>18</v>
      </c>
      <c r="W70" s="14" t="n">
        <f aca="false">$B70*I70</f>
        <v>0</v>
      </c>
      <c r="X70" s="14" t="n">
        <f aca="false">$B70*J70</f>
        <v>0</v>
      </c>
      <c r="Y70" s="14" t="n">
        <f aca="false">$B70*K70</f>
        <v>0</v>
      </c>
      <c r="Z70" s="14" t="n">
        <f aca="false">$B70*L70</f>
        <v>0</v>
      </c>
      <c r="AA70" s="14" t="n">
        <f aca="false">$B70*M70</f>
        <v>0</v>
      </c>
      <c r="AB70" s="14" t="n">
        <f aca="false">$B70*N70</f>
        <v>0</v>
      </c>
      <c r="AC70" s="14" t="n">
        <f aca="false">$B70*O70</f>
        <v>0</v>
      </c>
      <c r="AD70" s="14" t="n">
        <f aca="false">$B70*P70</f>
        <v>0</v>
      </c>
    </row>
    <row r="71" customFormat="false" ht="15" hidden="false" customHeight="false" outlineLevel="0" collapsed="false">
      <c r="A71" s="6" t="s">
        <v>124</v>
      </c>
      <c r="B71" s="16" t="n">
        <v>2</v>
      </c>
      <c r="C71" s="7" t="n">
        <f aca="false">IFERROR(INDEX(Détail!$E$5:$E$30,MATCH("Bobine Tesla",Détail!$B$5:$B$30,0)),0)</f>
        <v>500</v>
      </c>
      <c r="D71" s="7" t="n">
        <f aca="false">IFERROR(INDEX(Détail!$F$5:$F$30,MATCH("Bobine Tesla",Détail!$B$5:$B$30,0)),0)</f>
        <v>0</v>
      </c>
      <c r="E71" s="7" t="n">
        <f aca="false">IFERROR(INDEX(Détail!$G$5:$G$30,MATCH("Bobine Tesla",Détail!$B$5:$B$30,0)),0)</f>
        <v>100</v>
      </c>
      <c r="F71" s="7" t="n">
        <f aca="false">IFERROR(INDEX(Détail!$H$5:$H$30,MATCH("Bobine Tesla",Détail!$B$5:$B$30,0)),0)</f>
        <v>300</v>
      </c>
      <c r="G71" s="7" t="n">
        <f aca="false">IFERROR(INDEX(Détail!$I$5:$I$30,MATCH("Bobine Tesla",Détail!$B$5:$B$30,0)),0)</f>
        <v>200</v>
      </c>
      <c r="H71" s="7" t="n">
        <f aca="false">IFERROR(INDEX(Détail!$J$5:$J$30,MATCH("Bobine Tesla",Détail!$B$5:$B$30,0)),0)</f>
        <v>0</v>
      </c>
      <c r="I71" s="7" t="n">
        <f aca="false">IFERROR(INDEX(Détail!$K$5:$K$30,MATCH("Bobine Tesla",Détail!$B$5:$B$30,0)),0)</f>
        <v>0</v>
      </c>
      <c r="J71" s="7" t="n">
        <f aca="false">IFERROR(INDEX(Détail!$L$5:$L$30,MATCH("Bobine Tesla",Détail!$B$5:$B$30,0)),0)</f>
        <v>0</v>
      </c>
      <c r="K71" s="7" t="n">
        <f aca="false">IFERROR(INDEX(Détail!$M$5:$M$30,MATCH("Bobine Tesla",Détail!$B$5:$B$30,0)),0)</f>
        <v>0</v>
      </c>
      <c r="L71" s="7" t="n">
        <f aca="false">IFERROR(INDEX(Détail!$N$5:$N$30,MATCH("Bobine Tesla",Détail!$B$5:$B$30,0)),0)</f>
        <v>0</v>
      </c>
      <c r="M71" s="7" t="n">
        <f aca="false">IFERROR(INDEX(Détail!$O$5:$O$30,MATCH("Bobine Tesla",Détail!$B$5:$B$30,0)),0)</f>
        <v>0</v>
      </c>
      <c r="N71" s="7" t="n">
        <f aca="false">IFERROR(INDEX(Détail!$P$5:$P$30,MATCH("Bobine Tesla",Détail!$B$5:$B$30,0)),0)</f>
        <v>0</v>
      </c>
      <c r="O71" s="7" t="n">
        <f aca="false">IFERROR(INDEX(Détail!$Q$5:$Q$30,MATCH("Bobine Tesla",Détail!$B$5:$B$30,0)),0)</f>
        <v>0</v>
      </c>
      <c r="P71" s="7" t="n">
        <f aca="false">IFERROR(INDEX(Détail!$R$5:$R$30,MATCH("Bobine Tesla",Détail!$B$5:$B$30,0)),0)</f>
        <v>0</v>
      </c>
      <c r="Q71" s="14" t="n">
        <f aca="false">$B71*C71</f>
        <v>1000</v>
      </c>
      <c r="R71" s="14" t="n">
        <f aca="false">$B71*D71</f>
        <v>0</v>
      </c>
      <c r="S71" s="14" t="n">
        <f aca="false">$B71*E71</f>
        <v>200</v>
      </c>
      <c r="T71" s="14" t="n">
        <f aca="false">$B71*F71</f>
        <v>600</v>
      </c>
      <c r="U71" s="14" t="n">
        <f aca="false">$B71*G71</f>
        <v>400</v>
      </c>
      <c r="V71" s="14" t="n">
        <f aca="false">$B71*H71</f>
        <v>0</v>
      </c>
      <c r="W71" s="14" t="n">
        <f aca="false">$B71*I71</f>
        <v>0</v>
      </c>
      <c r="X71" s="14" t="n">
        <f aca="false">$B71*J71</f>
        <v>0</v>
      </c>
      <c r="Y71" s="14" t="n">
        <f aca="false">$B71*K71</f>
        <v>0</v>
      </c>
      <c r="Z71" s="14" t="n">
        <f aca="false">$B71*L71</f>
        <v>0</v>
      </c>
      <c r="AA71" s="14" t="n">
        <f aca="false">$B71*M71</f>
        <v>0</v>
      </c>
      <c r="AB71" s="14" t="n">
        <f aca="false">$B71*N71</f>
        <v>0</v>
      </c>
      <c r="AC71" s="14" t="n">
        <f aca="false">$B71*O71</f>
        <v>0</v>
      </c>
      <c r="AD71" s="14" t="n">
        <f aca="false">$B71*P71</f>
        <v>0</v>
      </c>
    </row>
    <row r="72" customFormat="false" ht="15" hidden="false" customHeight="false" outlineLevel="0" collapsed="false">
      <c r="A72" s="8" t="s">
        <v>99</v>
      </c>
      <c r="B72" s="9" t="n">
        <f aca="false">SUM(B68:B71)</f>
        <v>20</v>
      </c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9" t="n">
        <f aca="false">SUM(Q68:Q71)</f>
        <v>4840</v>
      </c>
      <c r="R72" s="9" t="n">
        <f aca="false">SUM(R68:R71)</f>
        <v>1500</v>
      </c>
      <c r="S72" s="9" t="n">
        <f aca="false">SUM(S68:S71)</f>
        <v>2420</v>
      </c>
      <c r="T72" s="9" t="n">
        <f aca="false">SUM(T68:T71)</f>
        <v>1320</v>
      </c>
      <c r="U72" s="9" t="n">
        <f aca="false">SUM(U68:U71)</f>
        <v>400</v>
      </c>
      <c r="V72" s="9" t="n">
        <f aca="false">SUM(V68:V71)</f>
        <v>18</v>
      </c>
      <c r="W72" s="9" t="n">
        <f aca="false">SUM(W68:W71)</f>
        <v>0</v>
      </c>
      <c r="X72" s="9" t="n">
        <f aca="false">SUM(X68:X71)</f>
        <v>0</v>
      </c>
      <c r="Y72" s="9" t="n">
        <f aca="false">SUM(Y68:Y71)</f>
        <v>0</v>
      </c>
      <c r="Z72" s="9" t="n">
        <f aca="false">SUM(Z68:Z71)</f>
        <v>0</v>
      </c>
      <c r="AA72" s="9" t="n">
        <f aca="false">SUM(AA68:AA71)</f>
        <v>180</v>
      </c>
      <c r="AB72" s="9" t="n">
        <f aca="false">SUM(AB68:AB71)</f>
        <v>120</v>
      </c>
      <c r="AC72" s="9" t="n">
        <f aca="false">SUM(AC68:AC71)</f>
        <v>0</v>
      </c>
      <c r="AD72" s="9" t="n">
        <f aca="false">SUM(AD68:AD71)</f>
        <v>300</v>
      </c>
    </row>
    <row r="73" customFormat="false" ht="15" hidden="false" customHeight="false" outlineLevel="0" collapsed="false">
      <c r="A73" s="8" t="s">
        <v>36</v>
      </c>
      <c r="B73" s="9" t="n">
        <f aca="false">SUM(B68:B71)-SUMIF(A68:A71,"* (inventaire)",B68:B71)</f>
        <v>6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9" t="n">
        <f aca="false">SUM(Q68:Q71)-SUMIF(A68:A71,"* (inventaire)",Q68:Q71)</f>
        <v>0</v>
      </c>
      <c r="R73" s="9" t="n">
        <f aca="false">SUM(R68:R71)-SUMIF(A68:A71,"* (inventaire)",R68:R71)</f>
        <v>0</v>
      </c>
      <c r="S73" s="9" t="n">
        <f aca="false">SUM(S68:S71)-SUMIF(A68:A71,"* (inventaire)",S68:S71)</f>
        <v>0</v>
      </c>
      <c r="T73" s="9" t="n">
        <f aca="false">SUM(T68:T71)-SUMIF(A68:A71,"* (inventaire)",T68:T71)</f>
        <v>0</v>
      </c>
      <c r="U73" s="9" t="n">
        <f aca="false">SUM(U68:U71)-SUMIF(A68:A71,"* (inventaire)",U68:U71)</f>
        <v>0</v>
      </c>
      <c r="V73" s="9" t="n">
        <f aca="false">SUM(V68:V71)-SUMIF(A68:A71,"* (inventaire)",V68:V71)</f>
        <v>0</v>
      </c>
      <c r="W73" s="9" t="n">
        <f aca="false">SUM(W68:W71)-SUMIF(A68:A71,"* (inventaire)",W68:W71)</f>
        <v>0</v>
      </c>
      <c r="X73" s="9" t="n">
        <f aca="false">SUM(X68:X71)-SUMIF(A68:A71,"* (inventaire)",X68:X71)</f>
        <v>0</v>
      </c>
      <c r="Y73" s="9" t="n">
        <f aca="false">SUM(Y68:Y71)-SUMIF(A68:A71,"* (inventaire)",Y68:Y71)</f>
        <v>0</v>
      </c>
      <c r="Z73" s="9" t="n">
        <f aca="false">SUM(Z68:Z71)-SUMIF(A68:A71,"* (inventaire)",Z68:Z71)</f>
        <v>0</v>
      </c>
      <c r="AA73" s="9" t="n">
        <f aca="false">SUM(AA68:AA71)-SUMIF(A68:A71,"* (inventaire)",AA68:AA71)</f>
        <v>180</v>
      </c>
      <c r="AB73" s="9" t="n">
        <f aca="false">SUM(AB68:AB71)-SUMIF(A68:A71,"* (inventaire)",AB68:AB71)</f>
        <v>120</v>
      </c>
      <c r="AC73" s="9" t="n">
        <f aca="false">SUM(AC68:AC71)-SUMIF(A68:A71,"* (inventaire)",AC68:AC71)</f>
        <v>0</v>
      </c>
      <c r="AD73" s="9" t="n">
        <f aca="false">SUM(AD68:AD71)-SUMIF(A68:A71,"* (inventaire)",AD68:AD71)</f>
        <v>300</v>
      </c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5" hidden="false" customHeight="false" outlineLevel="0" collapsed="false">
      <c r="A75" s="15" t="s">
        <v>129</v>
      </c>
      <c r="B75" s="2"/>
      <c r="C75" s="3" t="s">
        <v>130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30" hidden="false" customHeight="true" outlineLevel="0" collapsed="false">
      <c r="A76" s="11" t="s">
        <v>67</v>
      </c>
      <c r="B76" s="11" t="s">
        <v>68</v>
      </c>
      <c r="C76" s="11" t="s">
        <v>69</v>
      </c>
      <c r="D76" s="11" t="s">
        <v>70</v>
      </c>
      <c r="E76" s="11" t="s">
        <v>71</v>
      </c>
      <c r="F76" s="11" t="s">
        <v>72</v>
      </c>
      <c r="G76" s="11" t="s">
        <v>73</v>
      </c>
      <c r="H76" s="11" t="s">
        <v>74</v>
      </c>
      <c r="I76" s="11" t="s">
        <v>75</v>
      </c>
      <c r="J76" s="11" t="s">
        <v>76</v>
      </c>
      <c r="K76" s="11" t="s">
        <v>77</v>
      </c>
      <c r="L76" s="11" t="s">
        <v>78</v>
      </c>
      <c r="M76" s="11" t="s">
        <v>79</v>
      </c>
      <c r="N76" s="11" t="s">
        <v>80</v>
      </c>
      <c r="O76" s="11" t="s">
        <v>81</v>
      </c>
      <c r="P76" s="11" t="s">
        <v>82</v>
      </c>
      <c r="Q76" s="11" t="s">
        <v>83</v>
      </c>
      <c r="R76" s="11" t="s">
        <v>84</v>
      </c>
      <c r="S76" s="11" t="s">
        <v>85</v>
      </c>
      <c r="T76" s="11" t="s">
        <v>86</v>
      </c>
      <c r="U76" s="11" t="s">
        <v>87</v>
      </c>
      <c r="V76" s="11" t="s">
        <v>88</v>
      </c>
      <c r="W76" s="11" t="s">
        <v>89</v>
      </c>
      <c r="X76" s="11" t="s">
        <v>90</v>
      </c>
      <c r="Y76" s="11" t="s">
        <v>91</v>
      </c>
      <c r="Z76" s="11" t="s">
        <v>92</v>
      </c>
      <c r="AA76" s="11" t="s">
        <v>93</v>
      </c>
      <c r="AB76" s="11" t="s">
        <v>94</v>
      </c>
      <c r="AC76" s="11" t="s">
        <v>95</v>
      </c>
      <c r="AD76" s="11" t="s">
        <v>96</v>
      </c>
    </row>
    <row r="77" customFormat="false" ht="15" hidden="false" customHeight="false" outlineLevel="0" collapsed="false">
      <c r="A77" s="6" t="s">
        <v>114</v>
      </c>
      <c r="B77" s="16" t="n">
        <v>174</v>
      </c>
      <c r="C77" s="7" t="n">
        <f aca="false">IFERROR(INDEX(Détail!$E$5:$E$30,MATCH("Plafond triangle métal",Détail!$B$5:$B$30,0)),0)</f>
        <v>18</v>
      </c>
      <c r="D77" s="7" t="n">
        <f aca="false">IFERROR(INDEX(Détail!$F$5:$F$30,MATCH("Plafond triangle métal",Détail!$B$5:$B$30,0)),0)</f>
        <v>5</v>
      </c>
      <c r="E77" s="7" t="n">
        <f aca="false">IFERROR(INDEX(Détail!$G$5:$G$30,MATCH("Plafond triangle métal",Détail!$B$5:$B$30,0)),0)</f>
        <v>0</v>
      </c>
      <c r="F77" s="7" t="n">
        <f aca="false">IFERROR(INDEX(Détail!$H$5:$H$30,MATCH("Plafond triangle métal",Détail!$B$5:$B$30,0)),0)</f>
        <v>0</v>
      </c>
      <c r="G77" s="7" t="n">
        <f aca="false">IFERROR(INDEX(Détail!$I$5:$I$30,MATCH("Plafond triangle métal",Détail!$B$5:$B$30,0)),0)</f>
        <v>0</v>
      </c>
      <c r="H77" s="7" t="n">
        <f aca="false">IFERROR(INDEX(Détail!$J$5:$J$30,MATCH("Plafond triangle métal",Détail!$B$5:$B$30,0)),0)</f>
        <v>0</v>
      </c>
      <c r="I77" s="7" t="n">
        <f aca="false">IFERROR(INDEX(Détail!$K$5:$K$30,MATCH("Plafond triangle métal",Détail!$B$5:$B$30,0)),0)</f>
        <v>0</v>
      </c>
      <c r="J77" s="7" t="n">
        <f aca="false">IFERROR(INDEX(Détail!$L$5:$L$30,MATCH("Plafond triangle métal",Détail!$B$5:$B$30,0)),0)</f>
        <v>0</v>
      </c>
      <c r="K77" s="7" t="n">
        <f aca="false">IFERROR(INDEX(Détail!$M$5:$M$30,MATCH("Plafond triangle métal",Détail!$B$5:$B$30,0)),0)</f>
        <v>0</v>
      </c>
      <c r="L77" s="7" t="n">
        <f aca="false">IFERROR(INDEX(Détail!$N$5:$N$30,MATCH("Plafond triangle métal",Détail!$B$5:$B$30,0)),0)</f>
        <v>0</v>
      </c>
      <c r="M77" s="7" t="n">
        <f aca="false">IFERROR(INDEX(Détail!$O$5:$O$30,MATCH("Plafond triangle métal",Détail!$B$5:$B$30,0)),0)</f>
        <v>0</v>
      </c>
      <c r="N77" s="7" t="n">
        <f aca="false">IFERROR(INDEX(Détail!$P$5:$P$30,MATCH("Plafond triangle métal",Détail!$B$5:$B$30,0)),0)</f>
        <v>0</v>
      </c>
      <c r="O77" s="7" t="n">
        <f aca="false">IFERROR(INDEX(Détail!$Q$5:$Q$30,MATCH("Plafond triangle métal",Détail!$B$5:$B$30,0)),0)</f>
        <v>0</v>
      </c>
      <c r="P77" s="7" t="n">
        <f aca="false">IFERROR(INDEX(Détail!$R$5:$R$30,MATCH("Plafond triangle métal",Détail!$B$5:$B$30,0)),0)</f>
        <v>0</v>
      </c>
      <c r="Q77" s="14" t="n">
        <f aca="false">$B77*C77</f>
        <v>3132</v>
      </c>
      <c r="R77" s="14" t="n">
        <f aca="false">$B77*D77</f>
        <v>870</v>
      </c>
      <c r="S77" s="14" t="n">
        <f aca="false">$B77*E77</f>
        <v>0</v>
      </c>
      <c r="T77" s="14" t="n">
        <f aca="false">$B77*F77</f>
        <v>0</v>
      </c>
      <c r="U77" s="14" t="n">
        <f aca="false">$B77*G77</f>
        <v>0</v>
      </c>
      <c r="V77" s="14" t="n">
        <f aca="false">$B77*H77</f>
        <v>0</v>
      </c>
      <c r="W77" s="14" t="n">
        <f aca="false">$B77*I77</f>
        <v>0</v>
      </c>
      <c r="X77" s="14" t="n">
        <f aca="false">$B77*J77</f>
        <v>0</v>
      </c>
      <c r="Y77" s="14" t="n">
        <f aca="false">$B77*K77</f>
        <v>0</v>
      </c>
      <c r="Z77" s="14" t="n">
        <f aca="false">$B77*L77</f>
        <v>0</v>
      </c>
      <c r="AA77" s="14" t="n">
        <f aca="false">$B77*M77</f>
        <v>0</v>
      </c>
      <c r="AB77" s="14" t="n">
        <f aca="false">$B77*N77</f>
        <v>0</v>
      </c>
      <c r="AC77" s="14" t="n">
        <f aca="false">$B77*O77</f>
        <v>0</v>
      </c>
      <c r="AD77" s="14" t="n">
        <f aca="false">$B77*P77</f>
        <v>0</v>
      </c>
    </row>
    <row r="78" customFormat="false" ht="15" hidden="false" customHeight="false" outlineLevel="0" collapsed="false">
      <c r="A78" s="6" t="s">
        <v>115</v>
      </c>
      <c r="B78" s="16" t="n">
        <v>86</v>
      </c>
      <c r="C78" s="7" t="n">
        <f aca="false">IFERROR(INDEX(Détail!$E$5:$E$30,MATCH("Plafond métal",Détail!$B$5:$B$30,0)),0)</f>
        <v>35</v>
      </c>
      <c r="D78" s="7" t="n">
        <f aca="false">IFERROR(INDEX(Détail!$F$5:$F$30,MATCH("Plafond métal",Détail!$B$5:$B$30,0)),0)</f>
        <v>10</v>
      </c>
      <c r="E78" s="7" t="n">
        <f aca="false">IFERROR(INDEX(Détail!$G$5:$G$30,MATCH("Plafond métal",Détail!$B$5:$B$30,0)),0)</f>
        <v>0</v>
      </c>
      <c r="F78" s="7" t="n">
        <f aca="false">IFERROR(INDEX(Détail!$H$5:$H$30,MATCH("Plafond métal",Détail!$B$5:$B$30,0)),0)</f>
        <v>0</v>
      </c>
      <c r="G78" s="7" t="n">
        <f aca="false">IFERROR(INDEX(Détail!$I$5:$I$30,MATCH("Plafond métal",Détail!$B$5:$B$30,0)),0)</f>
        <v>0</v>
      </c>
      <c r="H78" s="7" t="n">
        <f aca="false">IFERROR(INDEX(Détail!$J$5:$J$30,MATCH("Plafond métal",Détail!$B$5:$B$30,0)),0)</f>
        <v>0</v>
      </c>
      <c r="I78" s="7" t="n">
        <f aca="false">IFERROR(INDEX(Détail!$K$5:$K$30,MATCH("Plafond métal",Détail!$B$5:$B$30,0)),0)</f>
        <v>0</v>
      </c>
      <c r="J78" s="7" t="n">
        <f aca="false">IFERROR(INDEX(Détail!$L$5:$L$30,MATCH("Plafond métal",Détail!$B$5:$B$30,0)),0)</f>
        <v>0</v>
      </c>
      <c r="K78" s="7" t="n">
        <f aca="false">IFERROR(INDEX(Détail!$M$5:$M$30,MATCH("Plafond métal",Détail!$B$5:$B$30,0)),0)</f>
        <v>0</v>
      </c>
      <c r="L78" s="7" t="n">
        <f aca="false">IFERROR(INDEX(Détail!$N$5:$N$30,MATCH("Plafond métal",Détail!$B$5:$B$30,0)),0)</f>
        <v>0</v>
      </c>
      <c r="M78" s="7" t="n">
        <f aca="false">IFERROR(INDEX(Détail!$O$5:$O$30,MATCH("Plafond métal",Détail!$B$5:$B$30,0)),0)</f>
        <v>0</v>
      </c>
      <c r="N78" s="7" t="n">
        <f aca="false">IFERROR(INDEX(Détail!$P$5:$P$30,MATCH("Plafond métal",Détail!$B$5:$B$30,0)),0)</f>
        <v>0</v>
      </c>
      <c r="O78" s="7" t="n">
        <f aca="false">IFERROR(INDEX(Détail!$Q$5:$Q$30,MATCH("Plafond métal",Détail!$B$5:$B$30,0)),0)</f>
        <v>0</v>
      </c>
      <c r="P78" s="7" t="n">
        <f aca="false">IFERROR(INDEX(Détail!$R$5:$R$30,MATCH("Plafond métal",Détail!$B$5:$B$30,0)),0)</f>
        <v>0</v>
      </c>
      <c r="Q78" s="14" t="n">
        <f aca="false">$B78*C78</f>
        <v>3010</v>
      </c>
      <c r="R78" s="14" t="n">
        <f aca="false">$B78*D78</f>
        <v>860</v>
      </c>
      <c r="S78" s="14" t="n">
        <f aca="false">$B78*E78</f>
        <v>0</v>
      </c>
      <c r="T78" s="14" t="n">
        <f aca="false">$B78*F78</f>
        <v>0</v>
      </c>
      <c r="U78" s="14" t="n">
        <f aca="false">$B78*G78</f>
        <v>0</v>
      </c>
      <c r="V78" s="14" t="n">
        <f aca="false">$B78*H78</f>
        <v>0</v>
      </c>
      <c r="W78" s="14" t="n">
        <f aca="false">$B78*I78</f>
        <v>0</v>
      </c>
      <c r="X78" s="14" t="n">
        <f aca="false">$B78*J78</f>
        <v>0</v>
      </c>
      <c r="Y78" s="14" t="n">
        <f aca="false">$B78*K78</f>
        <v>0</v>
      </c>
      <c r="Z78" s="14" t="n">
        <f aca="false">$B78*L78</f>
        <v>0</v>
      </c>
      <c r="AA78" s="14" t="n">
        <f aca="false">$B78*M78</f>
        <v>0</v>
      </c>
      <c r="AB78" s="14" t="n">
        <f aca="false">$B78*N78</f>
        <v>0</v>
      </c>
      <c r="AC78" s="14" t="n">
        <f aca="false">$B78*O78</f>
        <v>0</v>
      </c>
      <c r="AD78" s="14" t="n">
        <f aca="false">$B78*P78</f>
        <v>0</v>
      </c>
    </row>
    <row r="79" customFormat="false" ht="15" hidden="false" customHeight="false" outlineLevel="0" collapsed="false">
      <c r="A79" s="6" t="s">
        <v>113</v>
      </c>
      <c r="B79" s="16" t="n">
        <v>50</v>
      </c>
      <c r="C79" s="7" t="n">
        <f aca="false">IFERROR(INDEX(Détail!$E$5:$E$30,MATCH("Mur métal",Détail!$B$5:$B$30,0)),0)</f>
        <v>25</v>
      </c>
      <c r="D79" s="7" t="n">
        <f aca="false">IFERROR(INDEX(Détail!$F$5:$F$30,MATCH("Mur métal",Détail!$B$5:$B$30,0)),0)</f>
        <v>7</v>
      </c>
      <c r="E79" s="7" t="n">
        <f aca="false">IFERROR(INDEX(Détail!$G$5:$G$30,MATCH("Mur métal",Détail!$B$5:$B$30,0)),0)</f>
        <v>0</v>
      </c>
      <c r="F79" s="7" t="n">
        <f aca="false">IFERROR(INDEX(Détail!$H$5:$H$30,MATCH("Mur métal",Détail!$B$5:$B$30,0)),0)</f>
        <v>0</v>
      </c>
      <c r="G79" s="7" t="n">
        <f aca="false">IFERROR(INDEX(Détail!$I$5:$I$30,MATCH("Mur métal",Détail!$B$5:$B$30,0)),0)</f>
        <v>0</v>
      </c>
      <c r="H79" s="7" t="n">
        <f aca="false">IFERROR(INDEX(Détail!$J$5:$J$30,MATCH("Mur métal",Détail!$B$5:$B$30,0)),0)</f>
        <v>0</v>
      </c>
      <c r="I79" s="7" t="n">
        <f aca="false">IFERROR(INDEX(Détail!$K$5:$K$30,MATCH("Mur métal",Détail!$B$5:$B$30,0)),0)</f>
        <v>0</v>
      </c>
      <c r="J79" s="7" t="n">
        <f aca="false">IFERROR(INDEX(Détail!$L$5:$L$30,MATCH("Mur métal",Détail!$B$5:$B$30,0)),0)</f>
        <v>0</v>
      </c>
      <c r="K79" s="7" t="n">
        <f aca="false">IFERROR(INDEX(Détail!$M$5:$M$30,MATCH("Mur métal",Détail!$B$5:$B$30,0)),0)</f>
        <v>0</v>
      </c>
      <c r="L79" s="7" t="n">
        <f aca="false">IFERROR(INDEX(Détail!$N$5:$N$30,MATCH("Mur métal",Détail!$B$5:$B$30,0)),0)</f>
        <v>0</v>
      </c>
      <c r="M79" s="7" t="n">
        <f aca="false">IFERROR(INDEX(Détail!$O$5:$O$30,MATCH("Mur métal",Détail!$B$5:$B$30,0)),0)</f>
        <v>0</v>
      </c>
      <c r="N79" s="7" t="n">
        <f aca="false">IFERROR(INDEX(Détail!$P$5:$P$30,MATCH("Mur métal",Détail!$B$5:$B$30,0)),0)</f>
        <v>0</v>
      </c>
      <c r="O79" s="7" t="n">
        <f aca="false">IFERROR(INDEX(Détail!$Q$5:$Q$30,MATCH("Mur métal",Détail!$B$5:$B$30,0)),0)</f>
        <v>0</v>
      </c>
      <c r="P79" s="7" t="n">
        <f aca="false">IFERROR(INDEX(Détail!$R$5:$R$30,MATCH("Mur métal",Détail!$B$5:$B$30,0)),0)</f>
        <v>0</v>
      </c>
      <c r="Q79" s="14" t="n">
        <f aca="false">$B79*C79</f>
        <v>1250</v>
      </c>
      <c r="R79" s="14" t="n">
        <f aca="false">$B79*D79</f>
        <v>350</v>
      </c>
      <c r="S79" s="14" t="n">
        <f aca="false">$B79*E79</f>
        <v>0</v>
      </c>
      <c r="T79" s="14" t="n">
        <f aca="false">$B79*F79</f>
        <v>0</v>
      </c>
      <c r="U79" s="14" t="n">
        <f aca="false">$B79*G79</f>
        <v>0</v>
      </c>
      <c r="V79" s="14" t="n">
        <f aca="false">$B79*H79</f>
        <v>0</v>
      </c>
      <c r="W79" s="14" t="n">
        <f aca="false">$B79*I79</f>
        <v>0</v>
      </c>
      <c r="X79" s="14" t="n">
        <f aca="false">$B79*J79</f>
        <v>0</v>
      </c>
      <c r="Y79" s="14" t="n">
        <f aca="false">$B79*K79</f>
        <v>0</v>
      </c>
      <c r="Z79" s="14" t="n">
        <f aca="false">$B79*L79</f>
        <v>0</v>
      </c>
      <c r="AA79" s="14" t="n">
        <f aca="false">$B79*M79</f>
        <v>0</v>
      </c>
      <c r="AB79" s="14" t="n">
        <f aca="false">$B79*N79</f>
        <v>0</v>
      </c>
      <c r="AC79" s="14" t="n">
        <f aca="false">$B79*O79</f>
        <v>0</v>
      </c>
      <c r="AD79" s="14" t="n">
        <f aca="false">$B79*P79</f>
        <v>0</v>
      </c>
    </row>
    <row r="80" customFormat="false" ht="15" hidden="false" customHeight="false" outlineLevel="0" collapsed="false">
      <c r="A80" s="6" t="s">
        <v>102</v>
      </c>
      <c r="B80" s="16" t="n">
        <v>24</v>
      </c>
      <c r="C80" s="7" t="n">
        <f aca="false">IFERROR(INDEX(Détail!$E$5:$E$30,MATCH("Pilier métal",Détail!$B$5:$B$30,0)),0)</f>
        <v>25</v>
      </c>
      <c r="D80" s="7" t="n">
        <f aca="false">IFERROR(INDEX(Détail!$F$5:$F$30,MATCH("Pilier métal",Détail!$B$5:$B$30,0)),0)</f>
        <v>7</v>
      </c>
      <c r="E80" s="7" t="n">
        <f aca="false">IFERROR(INDEX(Détail!$G$5:$G$30,MATCH("Pilier métal",Détail!$B$5:$B$30,0)),0)</f>
        <v>0</v>
      </c>
      <c r="F80" s="7" t="n">
        <f aca="false">IFERROR(INDEX(Détail!$H$5:$H$30,MATCH("Pilier métal",Détail!$B$5:$B$30,0)),0)</f>
        <v>0</v>
      </c>
      <c r="G80" s="7" t="n">
        <f aca="false">IFERROR(INDEX(Détail!$I$5:$I$30,MATCH("Pilier métal",Détail!$B$5:$B$30,0)),0)</f>
        <v>0</v>
      </c>
      <c r="H80" s="7" t="n">
        <f aca="false">IFERROR(INDEX(Détail!$J$5:$J$30,MATCH("Pilier métal",Détail!$B$5:$B$30,0)),0)</f>
        <v>0</v>
      </c>
      <c r="I80" s="7" t="n">
        <f aca="false">IFERROR(INDEX(Détail!$K$5:$K$30,MATCH("Pilier métal",Détail!$B$5:$B$30,0)),0)</f>
        <v>0</v>
      </c>
      <c r="J80" s="7" t="n">
        <f aca="false">IFERROR(INDEX(Détail!$L$5:$L$30,MATCH("Pilier métal",Détail!$B$5:$B$30,0)),0)</f>
        <v>0</v>
      </c>
      <c r="K80" s="7" t="n">
        <f aca="false">IFERROR(INDEX(Détail!$M$5:$M$30,MATCH("Pilier métal",Détail!$B$5:$B$30,0)),0)</f>
        <v>0</v>
      </c>
      <c r="L80" s="7" t="n">
        <f aca="false">IFERROR(INDEX(Détail!$N$5:$N$30,MATCH("Pilier métal",Détail!$B$5:$B$30,0)),0)</f>
        <v>0</v>
      </c>
      <c r="M80" s="7" t="n">
        <f aca="false">IFERROR(INDEX(Détail!$O$5:$O$30,MATCH("Pilier métal",Détail!$B$5:$B$30,0)),0)</f>
        <v>0</v>
      </c>
      <c r="N80" s="7" t="n">
        <f aca="false">IFERROR(INDEX(Détail!$P$5:$P$30,MATCH("Pilier métal",Détail!$B$5:$B$30,0)),0)</f>
        <v>0</v>
      </c>
      <c r="O80" s="7" t="n">
        <f aca="false">IFERROR(INDEX(Détail!$Q$5:$Q$30,MATCH("Pilier métal",Détail!$B$5:$B$30,0)),0)</f>
        <v>0</v>
      </c>
      <c r="P80" s="7" t="n">
        <f aca="false">IFERROR(INDEX(Détail!$R$5:$R$30,MATCH("Pilier métal",Détail!$B$5:$B$30,0)),0)</f>
        <v>0</v>
      </c>
      <c r="Q80" s="14" t="n">
        <f aca="false">$B80*C80</f>
        <v>600</v>
      </c>
      <c r="R80" s="14" t="n">
        <f aca="false">$B80*D80</f>
        <v>168</v>
      </c>
      <c r="S80" s="14" t="n">
        <f aca="false">$B80*E80</f>
        <v>0</v>
      </c>
      <c r="T80" s="14" t="n">
        <f aca="false">$B80*F80</f>
        <v>0</v>
      </c>
      <c r="U80" s="14" t="n">
        <f aca="false">$B80*G80</f>
        <v>0</v>
      </c>
      <c r="V80" s="14" t="n">
        <f aca="false">$B80*H80</f>
        <v>0</v>
      </c>
      <c r="W80" s="14" t="n">
        <f aca="false">$B80*I80</f>
        <v>0</v>
      </c>
      <c r="X80" s="14" t="n">
        <f aca="false">$B80*J80</f>
        <v>0</v>
      </c>
      <c r="Y80" s="14" t="n">
        <f aca="false">$B80*K80</f>
        <v>0</v>
      </c>
      <c r="Z80" s="14" t="n">
        <f aca="false">$B80*L80</f>
        <v>0</v>
      </c>
      <c r="AA80" s="14" t="n">
        <f aca="false">$B80*M80</f>
        <v>0</v>
      </c>
      <c r="AB80" s="14" t="n">
        <f aca="false">$B80*N80</f>
        <v>0</v>
      </c>
      <c r="AC80" s="14" t="n">
        <f aca="false">$B80*O80</f>
        <v>0</v>
      </c>
      <c r="AD80" s="14" t="n">
        <f aca="false">$B80*P80</f>
        <v>0</v>
      </c>
    </row>
    <row r="81" customFormat="false" ht="15" hidden="false" customHeight="false" outlineLevel="0" collapsed="false">
      <c r="A81" s="6" t="s">
        <v>119</v>
      </c>
      <c r="B81" s="16" t="n">
        <v>1</v>
      </c>
      <c r="C81" s="7" t="n">
        <f aca="false">IFERROR(INDEX(Détail!$E$5:$E$30,MATCH("Plafond à trappe métal",Détail!$B$5:$B$30,0)),0)</f>
        <v>35</v>
      </c>
      <c r="D81" s="7" t="n">
        <f aca="false">IFERROR(INDEX(Détail!$F$5:$F$30,MATCH("Plafond à trappe métal",Détail!$B$5:$B$30,0)),0)</f>
        <v>10</v>
      </c>
      <c r="E81" s="7" t="n">
        <f aca="false">IFERROR(INDEX(Détail!$G$5:$G$30,MATCH("Plafond à trappe métal",Détail!$B$5:$B$30,0)),0)</f>
        <v>0</v>
      </c>
      <c r="F81" s="7" t="n">
        <f aca="false">IFERROR(INDEX(Détail!$H$5:$H$30,MATCH("Plafond à trappe métal",Détail!$B$5:$B$30,0)),0)</f>
        <v>0</v>
      </c>
      <c r="G81" s="7" t="n">
        <f aca="false">IFERROR(INDEX(Détail!$I$5:$I$30,MATCH("Plafond à trappe métal",Détail!$B$5:$B$30,0)),0)</f>
        <v>0</v>
      </c>
      <c r="H81" s="7" t="n">
        <f aca="false">IFERROR(INDEX(Détail!$J$5:$J$30,MATCH("Plafond à trappe métal",Détail!$B$5:$B$30,0)),0)</f>
        <v>0</v>
      </c>
      <c r="I81" s="7" t="n">
        <f aca="false">IFERROR(INDEX(Détail!$K$5:$K$30,MATCH("Plafond à trappe métal",Détail!$B$5:$B$30,0)),0)</f>
        <v>0</v>
      </c>
      <c r="J81" s="7" t="n">
        <f aca="false">IFERROR(INDEX(Détail!$L$5:$L$30,MATCH("Plafond à trappe métal",Détail!$B$5:$B$30,0)),0)</f>
        <v>0</v>
      </c>
      <c r="K81" s="7" t="n">
        <f aca="false">IFERROR(INDEX(Détail!$M$5:$M$30,MATCH("Plafond à trappe métal",Détail!$B$5:$B$30,0)),0)</f>
        <v>0</v>
      </c>
      <c r="L81" s="7" t="n">
        <f aca="false">IFERROR(INDEX(Détail!$N$5:$N$30,MATCH("Plafond à trappe métal",Détail!$B$5:$B$30,0)),0)</f>
        <v>0</v>
      </c>
      <c r="M81" s="7" t="n">
        <f aca="false">IFERROR(INDEX(Détail!$O$5:$O$30,MATCH("Plafond à trappe métal",Détail!$B$5:$B$30,0)),0)</f>
        <v>0</v>
      </c>
      <c r="N81" s="7" t="n">
        <f aca="false">IFERROR(INDEX(Détail!$P$5:$P$30,MATCH("Plafond à trappe métal",Détail!$B$5:$B$30,0)),0)</f>
        <v>0</v>
      </c>
      <c r="O81" s="7" t="n">
        <f aca="false">IFERROR(INDEX(Détail!$Q$5:$Q$30,MATCH("Plafond à trappe métal",Détail!$B$5:$B$30,0)),0)</f>
        <v>0</v>
      </c>
      <c r="P81" s="7" t="n">
        <f aca="false">IFERROR(INDEX(Détail!$R$5:$R$30,MATCH("Plafond à trappe métal",Détail!$B$5:$B$30,0)),0)</f>
        <v>0</v>
      </c>
      <c r="Q81" s="14" t="n">
        <f aca="false">$B81*C81</f>
        <v>35</v>
      </c>
      <c r="R81" s="14" t="n">
        <f aca="false">$B81*D81</f>
        <v>10</v>
      </c>
      <c r="S81" s="14" t="n">
        <f aca="false">$B81*E81</f>
        <v>0</v>
      </c>
      <c r="T81" s="14" t="n">
        <f aca="false">$B81*F81</f>
        <v>0</v>
      </c>
      <c r="U81" s="14" t="n">
        <f aca="false">$B81*G81</f>
        <v>0</v>
      </c>
      <c r="V81" s="14" t="n">
        <f aca="false">$B81*H81</f>
        <v>0</v>
      </c>
      <c r="W81" s="14" t="n">
        <f aca="false">$B81*I81</f>
        <v>0</v>
      </c>
      <c r="X81" s="14" t="n">
        <f aca="false">$B81*J81</f>
        <v>0</v>
      </c>
      <c r="Y81" s="14" t="n">
        <f aca="false">$B81*K81</f>
        <v>0</v>
      </c>
      <c r="Z81" s="14" t="n">
        <f aca="false">$B81*L81</f>
        <v>0</v>
      </c>
      <c r="AA81" s="14" t="n">
        <f aca="false">$B81*M81</f>
        <v>0</v>
      </c>
      <c r="AB81" s="14" t="n">
        <f aca="false">$B81*N81</f>
        <v>0</v>
      </c>
      <c r="AC81" s="14" t="n">
        <f aca="false">$B81*O81</f>
        <v>0</v>
      </c>
      <c r="AD81" s="14" t="n">
        <f aca="false">$B81*P81</f>
        <v>0</v>
      </c>
    </row>
    <row r="82" customFormat="false" ht="15" hidden="false" customHeight="false" outlineLevel="0" collapsed="false">
      <c r="A82" s="8" t="s">
        <v>99</v>
      </c>
      <c r="B82" s="9" t="n">
        <f aca="false">SUM(B77:B81)</f>
        <v>335</v>
      </c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9" t="n">
        <f aca="false">SUM(Q77:Q81)</f>
        <v>8027</v>
      </c>
      <c r="R82" s="9" t="n">
        <f aca="false">SUM(R77:R81)</f>
        <v>2258</v>
      </c>
      <c r="S82" s="9" t="n">
        <f aca="false">SUM(S77:S81)</f>
        <v>0</v>
      </c>
      <c r="T82" s="9" t="n">
        <f aca="false">SUM(T77:T81)</f>
        <v>0</v>
      </c>
      <c r="U82" s="9" t="n">
        <f aca="false">SUM(U77:U81)</f>
        <v>0</v>
      </c>
      <c r="V82" s="9" t="n">
        <f aca="false">SUM(V77:V81)</f>
        <v>0</v>
      </c>
      <c r="W82" s="9" t="n">
        <f aca="false">SUM(W77:W81)</f>
        <v>0</v>
      </c>
      <c r="X82" s="9" t="n">
        <f aca="false">SUM(X77:X81)</f>
        <v>0</v>
      </c>
      <c r="Y82" s="9" t="n">
        <f aca="false">SUM(Y77:Y81)</f>
        <v>0</v>
      </c>
      <c r="Z82" s="9" t="n">
        <f aca="false">SUM(Z77:Z81)</f>
        <v>0</v>
      </c>
      <c r="AA82" s="9" t="n">
        <f aca="false">SUM(AA77:AA81)</f>
        <v>0</v>
      </c>
      <c r="AB82" s="9" t="n">
        <f aca="false">SUM(AB77:AB81)</f>
        <v>0</v>
      </c>
      <c r="AC82" s="9" t="n">
        <f aca="false">SUM(AC77:AC81)</f>
        <v>0</v>
      </c>
      <c r="AD82" s="9" t="n">
        <f aca="false">SUM(AD77:AD81)</f>
        <v>0</v>
      </c>
    </row>
    <row r="83" customFormat="false" ht="15" hidden="false" customHeight="false" outlineLevel="0" collapsed="false">
      <c r="A83" s="8" t="s">
        <v>36</v>
      </c>
      <c r="B83" s="9" t="n">
        <f aca="false">SUM(B77:B81)-SUMIF(A77:A81,"* (inventaire)",B77:B81)</f>
        <v>335</v>
      </c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9" t="n">
        <f aca="false">SUM(Q77:Q81)-SUMIF(A77:A81,"* (inventaire)",Q77:Q81)</f>
        <v>8027</v>
      </c>
      <c r="R83" s="9" t="n">
        <f aca="false">SUM(R77:R81)-SUMIF(A77:A81,"* (inventaire)",R77:R81)</f>
        <v>2258</v>
      </c>
      <c r="S83" s="9" t="n">
        <f aca="false">SUM(S77:S81)-SUMIF(A77:A81,"* (inventaire)",S77:S81)</f>
        <v>0</v>
      </c>
      <c r="T83" s="9" t="n">
        <f aca="false">SUM(T77:T81)-SUMIF(A77:A81,"* (inventaire)",T77:T81)</f>
        <v>0</v>
      </c>
      <c r="U83" s="9" t="n">
        <f aca="false">SUM(U77:U81)-SUMIF(A77:A81,"* (inventaire)",U77:U81)</f>
        <v>0</v>
      </c>
      <c r="V83" s="9" t="n">
        <f aca="false">SUM(V77:V81)-SUMIF(A77:A81,"* (inventaire)",V77:V81)</f>
        <v>0</v>
      </c>
      <c r="W83" s="9" t="n">
        <f aca="false">SUM(W77:W81)-SUMIF(A77:A81,"* (inventaire)",W77:W81)</f>
        <v>0</v>
      </c>
      <c r="X83" s="9" t="n">
        <f aca="false">SUM(X77:X81)-SUMIF(A77:A81,"* (inventaire)",X77:X81)</f>
        <v>0</v>
      </c>
      <c r="Y83" s="9" t="n">
        <f aca="false">SUM(Y77:Y81)-SUMIF(A77:A81,"* (inventaire)",Y77:Y81)</f>
        <v>0</v>
      </c>
      <c r="Z83" s="9" t="n">
        <f aca="false">SUM(Z77:Z81)-SUMIF(A77:A81,"* (inventaire)",Z77:Z81)</f>
        <v>0</v>
      </c>
      <c r="AA83" s="9" t="n">
        <f aca="false">SUM(AA77:AA81)-SUMIF(A77:A81,"* (inventaire)",AA77:AA81)</f>
        <v>0</v>
      </c>
      <c r="AB83" s="9" t="n">
        <f aca="false">SUM(AB77:AB81)-SUMIF(A77:A81,"* (inventaire)",AB77:AB81)</f>
        <v>0</v>
      </c>
      <c r="AC83" s="9" t="n">
        <f aca="false">SUM(AC77:AC81)-SUMIF(A77:A81,"* (inventaire)",AC77:AC81)</f>
        <v>0</v>
      </c>
      <c r="AD83" s="9" t="n">
        <f aca="false">SUM(AD77:AD81)-SUMIF(A77:A81,"* (inventaire)",AD77:AD81)</f>
        <v>0</v>
      </c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5" hidden="false" customHeight="false" outlineLevel="0" collapsed="false">
      <c r="A85" s="15" t="s">
        <v>131</v>
      </c>
      <c r="B85" s="2"/>
      <c r="C85" s="3" t="s">
        <v>132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30" hidden="false" customHeight="true" outlineLevel="0" collapsed="false">
      <c r="A86" s="11" t="s">
        <v>67</v>
      </c>
      <c r="B86" s="11" t="s">
        <v>68</v>
      </c>
      <c r="C86" s="11" t="s">
        <v>69</v>
      </c>
      <c r="D86" s="11" t="s">
        <v>70</v>
      </c>
      <c r="E86" s="11" t="s">
        <v>71</v>
      </c>
      <c r="F86" s="11" t="s">
        <v>72</v>
      </c>
      <c r="G86" s="11" t="s">
        <v>73</v>
      </c>
      <c r="H86" s="11" t="s">
        <v>74</v>
      </c>
      <c r="I86" s="11" t="s">
        <v>75</v>
      </c>
      <c r="J86" s="11" t="s">
        <v>76</v>
      </c>
      <c r="K86" s="11" t="s">
        <v>77</v>
      </c>
      <c r="L86" s="11" t="s">
        <v>78</v>
      </c>
      <c r="M86" s="11" t="s">
        <v>79</v>
      </c>
      <c r="N86" s="11" t="s">
        <v>80</v>
      </c>
      <c r="O86" s="11" t="s">
        <v>81</v>
      </c>
      <c r="P86" s="11" t="s">
        <v>82</v>
      </c>
      <c r="Q86" s="11" t="s">
        <v>83</v>
      </c>
      <c r="R86" s="11" t="s">
        <v>84</v>
      </c>
      <c r="S86" s="11" t="s">
        <v>85</v>
      </c>
      <c r="T86" s="11" t="s">
        <v>86</v>
      </c>
      <c r="U86" s="11" t="s">
        <v>87</v>
      </c>
      <c r="V86" s="11" t="s">
        <v>88</v>
      </c>
      <c r="W86" s="11" t="s">
        <v>89</v>
      </c>
      <c r="X86" s="11" t="s">
        <v>90</v>
      </c>
      <c r="Y86" s="11" t="s">
        <v>91</v>
      </c>
      <c r="Z86" s="11" t="s">
        <v>92</v>
      </c>
      <c r="AA86" s="11" t="s">
        <v>93</v>
      </c>
      <c r="AB86" s="11" t="s">
        <v>94</v>
      </c>
      <c r="AC86" s="11" t="s">
        <v>95</v>
      </c>
      <c r="AD86" s="11" t="s">
        <v>96</v>
      </c>
    </row>
    <row r="87" customFormat="false" ht="15" hidden="false" customHeight="false" outlineLevel="0" collapsed="false">
      <c r="A87" s="6" t="s">
        <v>109</v>
      </c>
      <c r="B87" s="16" t="n">
        <v>164</v>
      </c>
      <c r="C87" s="7" t="n">
        <f aca="false">IFERROR(INDEX(Détail!$E$5:$E$30,MATCH("Rampe inclinée métal (Sloped Railing)",Détail!$B$5:$B$30,0)),0)</f>
        <v>12</v>
      </c>
      <c r="D87" s="7" t="n">
        <f aca="false">IFERROR(INDEX(Détail!$F$5:$F$30,MATCH("Rampe inclinée métal (Sloped Railing)",Détail!$B$5:$B$30,0)),0)</f>
        <v>3</v>
      </c>
      <c r="E87" s="7" t="n">
        <f aca="false">IFERROR(INDEX(Détail!$G$5:$G$30,MATCH("Rampe inclinée métal (Sloped Railing)",Détail!$B$5:$B$30,0)),0)</f>
        <v>0</v>
      </c>
      <c r="F87" s="7" t="n">
        <f aca="false">IFERROR(INDEX(Détail!$H$5:$H$30,MATCH("Rampe inclinée métal (Sloped Railing)",Détail!$B$5:$B$30,0)),0)</f>
        <v>0</v>
      </c>
      <c r="G87" s="7" t="n">
        <f aca="false">IFERROR(INDEX(Détail!$I$5:$I$30,MATCH("Rampe inclinée métal (Sloped Railing)",Détail!$B$5:$B$30,0)),0)</f>
        <v>0</v>
      </c>
      <c r="H87" s="7" t="n">
        <f aca="false">IFERROR(INDEX(Détail!$J$5:$J$30,MATCH("Rampe inclinée métal (Sloped Railing)",Détail!$B$5:$B$30,0)),0)</f>
        <v>0</v>
      </c>
      <c r="I87" s="7" t="n">
        <f aca="false">IFERROR(INDEX(Détail!$K$5:$K$30,MATCH("Rampe inclinée métal (Sloped Railing)",Détail!$B$5:$B$30,0)),0)</f>
        <v>0</v>
      </c>
      <c r="J87" s="7" t="n">
        <f aca="false">IFERROR(INDEX(Détail!$L$5:$L$30,MATCH("Rampe inclinée métal (Sloped Railing)",Détail!$B$5:$B$30,0)),0)</f>
        <v>0</v>
      </c>
      <c r="K87" s="7" t="n">
        <f aca="false">IFERROR(INDEX(Détail!$M$5:$M$30,MATCH("Rampe inclinée métal (Sloped Railing)",Détail!$B$5:$B$30,0)),0)</f>
        <v>0</v>
      </c>
      <c r="L87" s="7" t="n">
        <f aca="false">IFERROR(INDEX(Détail!$N$5:$N$30,MATCH("Rampe inclinée métal (Sloped Railing)",Détail!$B$5:$B$30,0)),0)</f>
        <v>0</v>
      </c>
      <c r="M87" s="7" t="n">
        <f aca="false">IFERROR(INDEX(Détail!$O$5:$O$30,MATCH("Rampe inclinée métal (Sloped Railing)",Détail!$B$5:$B$30,0)),0)</f>
        <v>0</v>
      </c>
      <c r="N87" s="7" t="n">
        <f aca="false">IFERROR(INDEX(Détail!$P$5:$P$30,MATCH("Rampe inclinée métal (Sloped Railing)",Détail!$B$5:$B$30,0)),0)</f>
        <v>0</v>
      </c>
      <c r="O87" s="7" t="n">
        <f aca="false">IFERROR(INDEX(Détail!$Q$5:$Q$30,MATCH("Rampe inclinée métal (Sloped Railing)",Détail!$B$5:$B$30,0)),0)</f>
        <v>0</v>
      </c>
      <c r="P87" s="7" t="n">
        <f aca="false">IFERROR(INDEX(Détail!$R$5:$R$30,MATCH("Rampe inclinée métal (Sloped Railing)",Détail!$B$5:$B$30,0)),0)</f>
        <v>0</v>
      </c>
      <c r="Q87" s="14" t="n">
        <f aca="false">$B87*C87</f>
        <v>1968</v>
      </c>
      <c r="R87" s="14" t="n">
        <f aca="false">$B87*D87</f>
        <v>492</v>
      </c>
      <c r="S87" s="14" t="n">
        <f aca="false">$B87*E87</f>
        <v>0</v>
      </c>
      <c r="T87" s="14" t="n">
        <f aca="false">$B87*F87</f>
        <v>0</v>
      </c>
      <c r="U87" s="14" t="n">
        <f aca="false">$B87*G87</f>
        <v>0</v>
      </c>
      <c r="V87" s="14" t="n">
        <f aca="false">$B87*H87</f>
        <v>0</v>
      </c>
      <c r="W87" s="14" t="n">
        <f aca="false">$B87*I87</f>
        <v>0</v>
      </c>
      <c r="X87" s="14" t="n">
        <f aca="false">$B87*J87</f>
        <v>0</v>
      </c>
      <c r="Y87" s="14" t="n">
        <f aca="false">$B87*K87</f>
        <v>0</v>
      </c>
      <c r="Z87" s="14" t="n">
        <f aca="false">$B87*L87</f>
        <v>0</v>
      </c>
      <c r="AA87" s="14" t="n">
        <f aca="false">$B87*M87</f>
        <v>0</v>
      </c>
      <c r="AB87" s="14" t="n">
        <f aca="false">$B87*N87</f>
        <v>0</v>
      </c>
      <c r="AC87" s="14" t="n">
        <f aca="false">$B87*O87</f>
        <v>0</v>
      </c>
      <c r="AD87" s="14" t="n">
        <f aca="false">$B87*P87</f>
        <v>0</v>
      </c>
    </row>
    <row r="88" customFormat="false" ht="15" hidden="false" customHeight="false" outlineLevel="0" collapsed="false">
      <c r="A88" s="6" t="s">
        <v>110</v>
      </c>
      <c r="B88" s="16" t="n">
        <v>96</v>
      </c>
      <c r="C88" s="7" t="n">
        <f aca="false">IFERROR(INDEX(Détail!$E$5:$E$30,MATCH("Pilier fin métal (Thin Pillar)",Détail!$B$5:$B$30,0)),0)</f>
        <v>13</v>
      </c>
      <c r="D88" s="7" t="n">
        <f aca="false">IFERROR(INDEX(Détail!$F$5:$F$30,MATCH("Pilier fin métal (Thin Pillar)",Détail!$B$5:$B$30,0)),0)</f>
        <v>4</v>
      </c>
      <c r="E88" s="7" t="n">
        <f aca="false">IFERROR(INDEX(Détail!$G$5:$G$30,MATCH("Pilier fin métal (Thin Pillar)",Détail!$B$5:$B$30,0)),0)</f>
        <v>0</v>
      </c>
      <c r="F88" s="7" t="n">
        <f aca="false">IFERROR(INDEX(Détail!$H$5:$H$30,MATCH("Pilier fin métal (Thin Pillar)",Détail!$B$5:$B$30,0)),0)</f>
        <v>0</v>
      </c>
      <c r="G88" s="7" t="n">
        <f aca="false">IFERROR(INDEX(Détail!$I$5:$I$30,MATCH("Pilier fin métal (Thin Pillar)",Détail!$B$5:$B$30,0)),0)</f>
        <v>0</v>
      </c>
      <c r="H88" s="7" t="n">
        <f aca="false">IFERROR(INDEX(Détail!$J$5:$J$30,MATCH("Pilier fin métal (Thin Pillar)",Détail!$B$5:$B$30,0)),0)</f>
        <v>0</v>
      </c>
      <c r="I88" s="7" t="n">
        <f aca="false">IFERROR(INDEX(Détail!$K$5:$K$30,MATCH("Pilier fin métal (Thin Pillar)",Détail!$B$5:$B$30,0)),0)</f>
        <v>0</v>
      </c>
      <c r="J88" s="7" t="n">
        <f aca="false">IFERROR(INDEX(Détail!$L$5:$L$30,MATCH("Pilier fin métal (Thin Pillar)",Détail!$B$5:$B$30,0)),0)</f>
        <v>0</v>
      </c>
      <c r="K88" s="7" t="n">
        <f aca="false">IFERROR(INDEX(Détail!$M$5:$M$30,MATCH("Pilier fin métal (Thin Pillar)",Détail!$B$5:$B$30,0)),0)</f>
        <v>0</v>
      </c>
      <c r="L88" s="7" t="n">
        <f aca="false">IFERROR(INDEX(Détail!$N$5:$N$30,MATCH("Pilier fin métal (Thin Pillar)",Détail!$B$5:$B$30,0)),0)</f>
        <v>0</v>
      </c>
      <c r="M88" s="7" t="n">
        <f aca="false">IFERROR(INDEX(Détail!$O$5:$O$30,MATCH("Pilier fin métal (Thin Pillar)",Détail!$B$5:$B$30,0)),0)</f>
        <v>0</v>
      </c>
      <c r="N88" s="7" t="n">
        <f aca="false">IFERROR(INDEX(Détail!$P$5:$P$30,MATCH("Pilier fin métal (Thin Pillar)",Détail!$B$5:$B$30,0)),0)</f>
        <v>0</v>
      </c>
      <c r="O88" s="7" t="n">
        <f aca="false">IFERROR(INDEX(Détail!$Q$5:$Q$30,MATCH("Pilier fin métal (Thin Pillar)",Détail!$B$5:$B$30,0)),0)</f>
        <v>0</v>
      </c>
      <c r="P88" s="7" t="n">
        <f aca="false">IFERROR(INDEX(Détail!$R$5:$R$30,MATCH("Pilier fin métal (Thin Pillar)",Détail!$B$5:$B$30,0)),0)</f>
        <v>0</v>
      </c>
      <c r="Q88" s="14" t="n">
        <f aca="false">$B88*C88</f>
        <v>1248</v>
      </c>
      <c r="R88" s="14" t="n">
        <f aca="false">$B88*D88</f>
        <v>384</v>
      </c>
      <c r="S88" s="14" t="n">
        <f aca="false">$B88*E88</f>
        <v>0</v>
      </c>
      <c r="T88" s="14" t="n">
        <f aca="false">$B88*F88</f>
        <v>0</v>
      </c>
      <c r="U88" s="14" t="n">
        <f aca="false">$B88*G88</f>
        <v>0</v>
      </c>
      <c r="V88" s="14" t="n">
        <f aca="false">$B88*H88</f>
        <v>0</v>
      </c>
      <c r="W88" s="14" t="n">
        <f aca="false">$B88*I88</f>
        <v>0</v>
      </c>
      <c r="X88" s="14" t="n">
        <f aca="false">$B88*J88</f>
        <v>0</v>
      </c>
      <c r="Y88" s="14" t="n">
        <f aca="false">$B88*K88</f>
        <v>0</v>
      </c>
      <c r="Z88" s="14" t="n">
        <f aca="false">$B88*L88</f>
        <v>0</v>
      </c>
      <c r="AA88" s="14" t="n">
        <f aca="false">$B88*M88</f>
        <v>0</v>
      </c>
      <c r="AB88" s="14" t="n">
        <f aca="false">$B88*N88</f>
        <v>0</v>
      </c>
      <c r="AC88" s="14" t="n">
        <f aca="false">$B88*O88</f>
        <v>0</v>
      </c>
      <c r="AD88" s="14" t="n">
        <f aca="false">$B88*P88</f>
        <v>0</v>
      </c>
    </row>
    <row r="89" customFormat="false" ht="15" hidden="false" customHeight="false" outlineLevel="0" collapsed="false">
      <c r="A89" s="6" t="s">
        <v>113</v>
      </c>
      <c r="B89" s="16" t="n">
        <v>1</v>
      </c>
      <c r="C89" s="7" t="n">
        <f aca="false">IFERROR(INDEX(Détail!$E$5:$E$30,MATCH("Mur métal",Détail!$B$5:$B$30,0)),0)</f>
        <v>25</v>
      </c>
      <c r="D89" s="7" t="n">
        <f aca="false">IFERROR(INDEX(Détail!$F$5:$F$30,MATCH("Mur métal",Détail!$B$5:$B$30,0)),0)</f>
        <v>7</v>
      </c>
      <c r="E89" s="7" t="n">
        <f aca="false">IFERROR(INDEX(Détail!$G$5:$G$30,MATCH("Mur métal",Détail!$B$5:$B$30,0)),0)</f>
        <v>0</v>
      </c>
      <c r="F89" s="7" t="n">
        <f aca="false">IFERROR(INDEX(Détail!$H$5:$H$30,MATCH("Mur métal",Détail!$B$5:$B$30,0)),0)</f>
        <v>0</v>
      </c>
      <c r="G89" s="7" t="n">
        <f aca="false">IFERROR(INDEX(Détail!$I$5:$I$30,MATCH("Mur métal",Détail!$B$5:$B$30,0)),0)</f>
        <v>0</v>
      </c>
      <c r="H89" s="7" t="n">
        <f aca="false">IFERROR(INDEX(Détail!$J$5:$J$30,MATCH("Mur métal",Détail!$B$5:$B$30,0)),0)</f>
        <v>0</v>
      </c>
      <c r="I89" s="7" t="n">
        <f aca="false">IFERROR(INDEX(Détail!$K$5:$K$30,MATCH("Mur métal",Détail!$B$5:$B$30,0)),0)</f>
        <v>0</v>
      </c>
      <c r="J89" s="7" t="n">
        <f aca="false">IFERROR(INDEX(Détail!$L$5:$L$30,MATCH("Mur métal",Détail!$B$5:$B$30,0)),0)</f>
        <v>0</v>
      </c>
      <c r="K89" s="7" t="n">
        <f aca="false">IFERROR(INDEX(Détail!$M$5:$M$30,MATCH("Mur métal",Détail!$B$5:$B$30,0)),0)</f>
        <v>0</v>
      </c>
      <c r="L89" s="7" t="n">
        <f aca="false">IFERROR(INDEX(Détail!$N$5:$N$30,MATCH("Mur métal",Détail!$B$5:$B$30,0)),0)</f>
        <v>0</v>
      </c>
      <c r="M89" s="7" t="n">
        <f aca="false">IFERROR(INDEX(Détail!$O$5:$O$30,MATCH("Mur métal",Détail!$B$5:$B$30,0)),0)</f>
        <v>0</v>
      </c>
      <c r="N89" s="7" t="n">
        <f aca="false">IFERROR(INDEX(Détail!$P$5:$P$30,MATCH("Mur métal",Détail!$B$5:$B$30,0)),0)</f>
        <v>0</v>
      </c>
      <c r="O89" s="7" t="n">
        <f aca="false">IFERROR(INDEX(Détail!$Q$5:$Q$30,MATCH("Mur métal",Détail!$B$5:$B$30,0)),0)</f>
        <v>0</v>
      </c>
      <c r="P89" s="7" t="n">
        <f aca="false">IFERROR(INDEX(Détail!$R$5:$R$30,MATCH("Mur métal",Détail!$B$5:$B$30,0)),0)</f>
        <v>0</v>
      </c>
      <c r="Q89" s="14" t="n">
        <f aca="false">$B89*C89</f>
        <v>25</v>
      </c>
      <c r="R89" s="14" t="n">
        <f aca="false">$B89*D89</f>
        <v>7</v>
      </c>
      <c r="S89" s="14" t="n">
        <f aca="false">$B89*E89</f>
        <v>0</v>
      </c>
      <c r="T89" s="14" t="n">
        <f aca="false">$B89*F89</f>
        <v>0</v>
      </c>
      <c r="U89" s="14" t="n">
        <f aca="false">$B89*G89</f>
        <v>0</v>
      </c>
      <c r="V89" s="14" t="n">
        <f aca="false">$B89*H89</f>
        <v>0</v>
      </c>
      <c r="W89" s="14" t="n">
        <f aca="false">$B89*I89</f>
        <v>0</v>
      </c>
      <c r="X89" s="14" t="n">
        <f aca="false">$B89*J89</f>
        <v>0</v>
      </c>
      <c r="Y89" s="14" t="n">
        <f aca="false">$B89*K89</f>
        <v>0</v>
      </c>
      <c r="Z89" s="14" t="n">
        <f aca="false">$B89*L89</f>
        <v>0</v>
      </c>
      <c r="AA89" s="14" t="n">
        <f aca="false">$B89*M89</f>
        <v>0</v>
      </c>
      <c r="AB89" s="14" t="n">
        <f aca="false">$B89*N89</f>
        <v>0</v>
      </c>
      <c r="AC89" s="14" t="n">
        <f aca="false">$B89*O89</f>
        <v>0</v>
      </c>
      <c r="AD89" s="14" t="n">
        <f aca="false">$B89*P89</f>
        <v>0</v>
      </c>
    </row>
    <row r="90" customFormat="false" ht="15" hidden="false" customHeight="false" outlineLevel="0" collapsed="false">
      <c r="A90" s="8" t="s">
        <v>99</v>
      </c>
      <c r="B90" s="9" t="n">
        <f aca="false">SUM(B87:B89)</f>
        <v>261</v>
      </c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9" t="n">
        <f aca="false">SUM(Q87:Q89)</f>
        <v>3241</v>
      </c>
      <c r="R90" s="9" t="n">
        <f aca="false">SUM(R87:R89)</f>
        <v>883</v>
      </c>
      <c r="S90" s="9" t="n">
        <f aca="false">SUM(S87:S89)</f>
        <v>0</v>
      </c>
      <c r="T90" s="9" t="n">
        <f aca="false">SUM(T87:T89)</f>
        <v>0</v>
      </c>
      <c r="U90" s="9" t="n">
        <f aca="false">SUM(U87:U89)</f>
        <v>0</v>
      </c>
      <c r="V90" s="9" t="n">
        <f aca="false">SUM(V87:V89)</f>
        <v>0</v>
      </c>
      <c r="W90" s="9" t="n">
        <f aca="false">SUM(W87:W89)</f>
        <v>0</v>
      </c>
      <c r="X90" s="9" t="n">
        <f aca="false">SUM(X87:X89)</f>
        <v>0</v>
      </c>
      <c r="Y90" s="9" t="n">
        <f aca="false">SUM(Y87:Y89)</f>
        <v>0</v>
      </c>
      <c r="Z90" s="9" t="n">
        <f aca="false">SUM(Z87:Z89)</f>
        <v>0</v>
      </c>
      <c r="AA90" s="9" t="n">
        <f aca="false">SUM(AA87:AA89)</f>
        <v>0</v>
      </c>
      <c r="AB90" s="9" t="n">
        <f aca="false">SUM(AB87:AB89)</f>
        <v>0</v>
      </c>
      <c r="AC90" s="9" t="n">
        <f aca="false">SUM(AC87:AC89)</f>
        <v>0</v>
      </c>
      <c r="AD90" s="9" t="n">
        <f aca="false">SUM(AD87:AD89)</f>
        <v>0</v>
      </c>
    </row>
    <row r="91" customFormat="false" ht="15" hidden="false" customHeight="false" outlineLevel="0" collapsed="false">
      <c r="A91" s="8" t="s">
        <v>36</v>
      </c>
      <c r="B91" s="9" t="n">
        <f aca="false">SUM(B87:B89)-SUMIF(A87:A89,"* (inventaire)",B87:B89)</f>
        <v>261</v>
      </c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9" t="n">
        <f aca="false">SUM(Q87:Q89)-SUMIF(A87:A89,"* (inventaire)",Q87:Q89)</f>
        <v>3241</v>
      </c>
      <c r="R91" s="9" t="n">
        <f aca="false">SUM(R87:R89)-SUMIF(A87:A89,"* (inventaire)",R87:R89)</f>
        <v>883</v>
      </c>
      <c r="S91" s="9" t="n">
        <f aca="false">SUM(S87:S89)-SUMIF(A87:A89,"* (inventaire)",S87:S89)</f>
        <v>0</v>
      </c>
      <c r="T91" s="9" t="n">
        <f aca="false">SUM(T87:T89)-SUMIF(A87:A89,"* (inventaire)",T87:T89)</f>
        <v>0</v>
      </c>
      <c r="U91" s="9" t="n">
        <f aca="false">SUM(U87:U89)-SUMIF(A87:A89,"* (inventaire)",U87:U89)</f>
        <v>0</v>
      </c>
      <c r="V91" s="9" t="n">
        <f aca="false">SUM(V87:V89)-SUMIF(A87:A89,"* (inventaire)",V87:V89)</f>
        <v>0</v>
      </c>
      <c r="W91" s="9" t="n">
        <f aca="false">SUM(W87:W89)-SUMIF(A87:A89,"* (inventaire)",W87:W89)</f>
        <v>0</v>
      </c>
      <c r="X91" s="9" t="n">
        <f aca="false">SUM(X87:X89)-SUMIF(A87:A89,"* (inventaire)",X87:X89)</f>
        <v>0</v>
      </c>
      <c r="Y91" s="9" t="n">
        <f aca="false">SUM(Y87:Y89)-SUMIF(A87:A89,"* (inventaire)",Y87:Y89)</f>
        <v>0</v>
      </c>
      <c r="Z91" s="9" t="n">
        <f aca="false">SUM(Z87:Z89)-SUMIF(A87:A89,"* (inventaire)",Z87:Z89)</f>
        <v>0</v>
      </c>
      <c r="AA91" s="9" t="n">
        <f aca="false">SUM(AA87:AA89)-SUMIF(A87:A89,"* (inventaire)",AA87:AA89)</f>
        <v>0</v>
      </c>
      <c r="AB91" s="9" t="n">
        <f aca="false">SUM(AB87:AB89)-SUMIF(A87:A89,"* (inventaire)",AB87:AB89)</f>
        <v>0</v>
      </c>
      <c r="AC91" s="9" t="n">
        <f aca="false">SUM(AC87:AC89)-SUMIF(A87:A89,"* (inventaire)",AC87:AC89)</f>
        <v>0</v>
      </c>
      <c r="AD91" s="9" t="n">
        <f aca="false">SUM(AD87:AD89)-SUMIF(A87:A89,"* (inventaire)",AD87:AD89)</f>
        <v>0</v>
      </c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5" hidden="false" customHeight="false" outlineLevel="0" collapsed="false">
      <c r="A93" s="15" t="s">
        <v>133</v>
      </c>
      <c r="B93" s="2"/>
      <c r="C93" s="3" t="s">
        <v>134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30" hidden="false" customHeight="true" outlineLevel="0" collapsed="false">
      <c r="A94" s="11" t="s">
        <v>67</v>
      </c>
      <c r="B94" s="11" t="s">
        <v>68</v>
      </c>
      <c r="C94" s="11" t="s">
        <v>69</v>
      </c>
      <c r="D94" s="11" t="s">
        <v>70</v>
      </c>
      <c r="E94" s="11" t="s">
        <v>71</v>
      </c>
      <c r="F94" s="11" t="s">
        <v>72</v>
      </c>
      <c r="G94" s="11" t="s">
        <v>73</v>
      </c>
      <c r="H94" s="11" t="s">
        <v>74</v>
      </c>
      <c r="I94" s="11" t="s">
        <v>75</v>
      </c>
      <c r="J94" s="11" t="s">
        <v>76</v>
      </c>
      <c r="K94" s="11" t="s">
        <v>77</v>
      </c>
      <c r="L94" s="11" t="s">
        <v>78</v>
      </c>
      <c r="M94" s="11" t="s">
        <v>79</v>
      </c>
      <c r="N94" s="11" t="s">
        <v>80</v>
      </c>
      <c r="O94" s="11" t="s">
        <v>81</v>
      </c>
      <c r="P94" s="11" t="s">
        <v>82</v>
      </c>
      <c r="Q94" s="11" t="s">
        <v>83</v>
      </c>
      <c r="R94" s="11" t="s">
        <v>84</v>
      </c>
      <c r="S94" s="11" t="s">
        <v>85</v>
      </c>
      <c r="T94" s="11" t="s">
        <v>86</v>
      </c>
      <c r="U94" s="11" t="s">
        <v>87</v>
      </c>
      <c r="V94" s="11" t="s">
        <v>88</v>
      </c>
      <c r="W94" s="11" t="s">
        <v>89</v>
      </c>
      <c r="X94" s="11" t="s">
        <v>90</v>
      </c>
      <c r="Y94" s="11" t="s">
        <v>91</v>
      </c>
      <c r="Z94" s="11" t="s">
        <v>92</v>
      </c>
      <c r="AA94" s="11" t="s">
        <v>93</v>
      </c>
      <c r="AB94" s="11" t="s">
        <v>94</v>
      </c>
      <c r="AC94" s="11" t="s">
        <v>95</v>
      </c>
      <c r="AD94" s="11" t="s">
        <v>96</v>
      </c>
    </row>
    <row r="95" customFormat="false" ht="15" hidden="false" customHeight="false" outlineLevel="0" collapsed="false">
      <c r="A95" s="6" t="s">
        <v>125</v>
      </c>
      <c r="B95" s="16" t="n">
        <v>4</v>
      </c>
      <c r="C95" s="7" t="n">
        <f aca="false">IFERROR(INDEX(Détail!$E$5:$E$30,MATCH("Grand carré de culture (Plant Species X)",Détail!$B$5:$B$30,0)),0)</f>
        <v>0</v>
      </c>
      <c r="D95" s="7" t="n">
        <f aca="false">IFERROR(INDEX(Détail!$F$5:$F$30,MATCH("Grand carré de culture (Plant Species X)",Détail!$B$5:$B$30,0)),0)</f>
        <v>0</v>
      </c>
      <c r="E95" s="7" t="n">
        <f aca="false">IFERROR(INDEX(Détail!$G$5:$G$30,MATCH("Grand carré de culture (Plant Species X)",Détail!$B$5:$B$30,0)),0)</f>
        <v>0</v>
      </c>
      <c r="F95" s="7" t="n">
        <f aca="false">IFERROR(INDEX(Détail!$H$5:$H$30,MATCH("Grand carré de culture (Plant Species X)",Détail!$B$5:$B$30,0)),0)</f>
        <v>0</v>
      </c>
      <c r="G95" s="7" t="n">
        <f aca="false">IFERROR(INDEX(Détail!$I$5:$I$30,MATCH("Grand carré de culture (Plant Species X)",Détail!$B$5:$B$30,0)),0)</f>
        <v>0</v>
      </c>
      <c r="H95" s="7" t="n">
        <f aca="false">IFERROR(INDEX(Détail!$J$5:$J$30,MATCH("Grand carré de culture (Plant Species X)",Détail!$B$5:$B$30,0)),0)</f>
        <v>0</v>
      </c>
      <c r="I95" s="7" t="n">
        <f aca="false">IFERROR(INDEX(Détail!$K$5:$K$30,MATCH("Grand carré de culture (Plant Species X)",Détail!$B$5:$B$30,0)),0)</f>
        <v>0</v>
      </c>
      <c r="J95" s="7" t="n">
        <f aca="false">IFERROR(INDEX(Détail!$L$5:$L$30,MATCH("Grand carré de culture (Plant Species X)",Détail!$B$5:$B$30,0)),0)</f>
        <v>0</v>
      </c>
      <c r="K95" s="7" t="n">
        <f aca="false">IFERROR(INDEX(Détail!$M$5:$M$30,MATCH("Grand carré de culture (Plant Species X)",Détail!$B$5:$B$30,0)),0)</f>
        <v>0</v>
      </c>
      <c r="L95" s="7" t="n">
        <f aca="false">IFERROR(INDEX(Détail!$N$5:$N$30,MATCH("Grand carré de culture (Plant Species X)",Détail!$B$5:$B$30,0)),0)</f>
        <v>0</v>
      </c>
      <c r="M95" s="7" t="n">
        <f aca="false">IFERROR(INDEX(Détail!$O$5:$O$30,MATCH("Grand carré de culture (Plant Species X)",Détail!$B$5:$B$30,0)),0)</f>
        <v>40</v>
      </c>
      <c r="N95" s="7" t="n">
        <f aca="false">IFERROR(INDEX(Détail!$P$5:$P$30,MATCH("Grand carré de culture (Plant Species X)",Détail!$B$5:$B$30,0)),0)</f>
        <v>50</v>
      </c>
      <c r="O95" s="7" t="n">
        <f aca="false">IFERROR(INDEX(Détail!$Q$5:$Q$30,MATCH("Grand carré de culture (Plant Species X)",Détail!$B$5:$B$30,0)),0)</f>
        <v>40</v>
      </c>
      <c r="P95" s="7" t="n">
        <f aca="false">IFERROR(INDEX(Détail!$R$5:$R$30,MATCH("Grand carré de culture (Plant Species X)",Détail!$B$5:$B$30,0)),0)</f>
        <v>100</v>
      </c>
      <c r="Q95" s="14" t="n">
        <f aca="false">$B95*C95</f>
        <v>0</v>
      </c>
      <c r="R95" s="14" t="n">
        <f aca="false">$B95*D95</f>
        <v>0</v>
      </c>
      <c r="S95" s="14" t="n">
        <f aca="false">$B95*E95</f>
        <v>0</v>
      </c>
      <c r="T95" s="14" t="n">
        <f aca="false">$B95*F95</f>
        <v>0</v>
      </c>
      <c r="U95" s="14" t="n">
        <f aca="false">$B95*G95</f>
        <v>0</v>
      </c>
      <c r="V95" s="14" t="n">
        <f aca="false">$B95*H95</f>
        <v>0</v>
      </c>
      <c r="W95" s="14" t="n">
        <f aca="false">$B95*I95</f>
        <v>0</v>
      </c>
      <c r="X95" s="14" t="n">
        <f aca="false">$B95*J95</f>
        <v>0</v>
      </c>
      <c r="Y95" s="14" t="n">
        <f aca="false">$B95*K95</f>
        <v>0</v>
      </c>
      <c r="Z95" s="14" t="n">
        <f aca="false">$B95*L95</f>
        <v>0</v>
      </c>
      <c r="AA95" s="14" t="n">
        <f aca="false">$B95*M95</f>
        <v>160</v>
      </c>
      <c r="AB95" s="14" t="n">
        <f aca="false">$B95*N95</f>
        <v>200</v>
      </c>
      <c r="AC95" s="14" t="n">
        <f aca="false">$B95*O95</f>
        <v>160</v>
      </c>
      <c r="AD95" s="14" t="n">
        <f aca="false">$B95*P95</f>
        <v>400</v>
      </c>
    </row>
    <row r="96" customFormat="false" ht="15" hidden="false" customHeight="false" outlineLevel="0" collapsed="false">
      <c r="A96" s="6" t="s">
        <v>122</v>
      </c>
      <c r="B96" s="16" t="n">
        <v>2</v>
      </c>
      <c r="C96" s="7" t="n">
        <f aca="false">IFERROR(INDEX(Détail!$E$5:$E$30,MATCH("Tourelle lourde (Heavy)",Détail!$B$5:$B$30,0)),0)</f>
        <v>540</v>
      </c>
      <c r="D96" s="7" t="n">
        <f aca="false">IFERROR(INDEX(Détail!$F$5:$F$30,MATCH("Tourelle lourde (Heavy)",Détail!$B$5:$B$30,0)),0)</f>
        <v>200</v>
      </c>
      <c r="E96" s="7" t="n">
        <f aca="false">IFERROR(INDEX(Détail!$G$5:$G$30,MATCH("Tourelle lourde (Heavy)",Détail!$B$5:$B$30,0)),0)</f>
        <v>270</v>
      </c>
      <c r="F96" s="7" t="n">
        <f aca="false">IFERROR(INDEX(Détail!$H$5:$H$30,MATCH("Tourelle lourde (Heavy)",Détail!$B$5:$B$30,0)),0)</f>
        <v>70</v>
      </c>
      <c r="G96" s="7" t="n">
        <f aca="false">IFERROR(INDEX(Détail!$I$5:$I$30,MATCH("Tourelle lourde (Heavy)",Détail!$B$5:$B$30,0)),0)</f>
        <v>0</v>
      </c>
      <c r="H96" s="7" t="n">
        <f aca="false">IFERROR(INDEX(Détail!$J$5:$J$30,MATCH("Tourelle lourde (Heavy)",Détail!$B$5:$B$30,0)),0)</f>
        <v>0</v>
      </c>
      <c r="I96" s="7" t="n">
        <f aca="false">IFERROR(INDEX(Détail!$K$5:$K$30,MATCH("Tourelle lourde (Heavy)",Détail!$B$5:$B$30,0)),0)</f>
        <v>0</v>
      </c>
      <c r="J96" s="7" t="n">
        <f aca="false">IFERROR(INDEX(Détail!$L$5:$L$30,MATCH("Tourelle lourde (Heavy)",Détail!$B$5:$B$30,0)),0)</f>
        <v>0</v>
      </c>
      <c r="K96" s="7" t="n">
        <f aca="false">IFERROR(INDEX(Détail!$M$5:$M$30,MATCH("Tourelle lourde (Heavy)",Détail!$B$5:$B$30,0)),0)</f>
        <v>0</v>
      </c>
      <c r="L96" s="7" t="n">
        <f aca="false">IFERROR(INDEX(Détail!$N$5:$N$30,MATCH("Tourelle lourde (Heavy)",Détail!$B$5:$B$30,0)),0)</f>
        <v>0</v>
      </c>
      <c r="M96" s="7" t="n">
        <f aca="false">IFERROR(INDEX(Détail!$O$5:$O$30,MATCH("Tourelle lourde (Heavy)",Détail!$B$5:$B$30,0)),0)</f>
        <v>0</v>
      </c>
      <c r="N96" s="7" t="n">
        <f aca="false">IFERROR(INDEX(Détail!$P$5:$P$30,MATCH("Tourelle lourde (Heavy)",Détail!$B$5:$B$30,0)),0)</f>
        <v>0</v>
      </c>
      <c r="O96" s="7" t="n">
        <f aca="false">IFERROR(INDEX(Détail!$Q$5:$Q$30,MATCH("Tourelle lourde (Heavy)",Détail!$B$5:$B$30,0)),0)</f>
        <v>0</v>
      </c>
      <c r="P96" s="7" t="n">
        <f aca="false">IFERROR(INDEX(Détail!$R$5:$R$30,MATCH("Tourelle lourde (Heavy)",Détail!$B$5:$B$30,0)),0)</f>
        <v>0</v>
      </c>
      <c r="Q96" s="14" t="n">
        <f aca="false">$B96*C96</f>
        <v>1080</v>
      </c>
      <c r="R96" s="14" t="n">
        <f aca="false">$B96*D96</f>
        <v>400</v>
      </c>
      <c r="S96" s="14" t="n">
        <f aca="false">$B96*E96</f>
        <v>540</v>
      </c>
      <c r="T96" s="14" t="n">
        <f aca="false">$B96*F96</f>
        <v>140</v>
      </c>
      <c r="U96" s="14" t="n">
        <f aca="false">$B96*G96</f>
        <v>0</v>
      </c>
      <c r="V96" s="14" t="n">
        <f aca="false">$B96*H96</f>
        <v>0</v>
      </c>
      <c r="W96" s="14" t="n">
        <f aca="false">$B96*I96</f>
        <v>0</v>
      </c>
      <c r="X96" s="14" t="n">
        <f aca="false">$B96*J96</f>
        <v>0</v>
      </c>
      <c r="Y96" s="14" t="n">
        <f aca="false">$B96*K96</f>
        <v>0</v>
      </c>
      <c r="Z96" s="14" t="n">
        <f aca="false">$B96*L96</f>
        <v>0</v>
      </c>
      <c r="AA96" s="14" t="n">
        <f aca="false">$B96*M96</f>
        <v>0</v>
      </c>
      <c r="AB96" s="14" t="n">
        <f aca="false">$B96*N96</f>
        <v>0</v>
      </c>
      <c r="AC96" s="14" t="n">
        <f aca="false">$B96*O96</f>
        <v>0</v>
      </c>
      <c r="AD96" s="14" t="n">
        <f aca="false">$B96*P96</f>
        <v>0</v>
      </c>
    </row>
    <row r="97" customFormat="false" ht="15" hidden="false" customHeight="false" outlineLevel="0" collapsed="false">
      <c r="A97" s="6" t="s">
        <v>123</v>
      </c>
      <c r="B97" s="16" t="n">
        <v>2</v>
      </c>
      <c r="C97" s="7" t="n">
        <f aca="false">IFERROR(INDEX(Détail!$E$5:$E$30,MATCH("Tourelle Tek",Détail!$B$5:$B$30,0)),0)</f>
        <v>100</v>
      </c>
      <c r="D97" s="7" t="n">
        <f aca="false">IFERROR(INDEX(Détail!$F$5:$F$30,MATCH("Tourelle Tek",Détail!$B$5:$B$30,0)),0)</f>
        <v>50</v>
      </c>
      <c r="E97" s="7" t="n">
        <f aca="false">IFERROR(INDEX(Détail!$G$5:$G$30,MATCH("Tourelle Tek",Détail!$B$5:$B$30,0)),0)</f>
        <v>100</v>
      </c>
      <c r="F97" s="7" t="n">
        <f aca="false">IFERROR(INDEX(Détail!$H$5:$H$30,MATCH("Tourelle Tek",Détail!$B$5:$B$30,0)),0)</f>
        <v>50</v>
      </c>
      <c r="G97" s="7" t="n">
        <f aca="false">IFERROR(INDEX(Détail!$I$5:$I$30,MATCH("Tourelle Tek",Détail!$B$5:$B$30,0)),0)</f>
        <v>0</v>
      </c>
      <c r="H97" s="7" t="n">
        <f aca="false">IFERROR(INDEX(Détail!$J$5:$J$30,MATCH("Tourelle Tek",Détail!$B$5:$B$30,0)),0)</f>
        <v>3</v>
      </c>
      <c r="I97" s="7" t="n">
        <f aca="false">IFERROR(INDEX(Détail!$K$5:$K$30,MATCH("Tourelle Tek",Détail!$B$5:$B$30,0)),0)</f>
        <v>0</v>
      </c>
      <c r="J97" s="7" t="n">
        <f aca="false">IFERROR(INDEX(Détail!$L$5:$L$30,MATCH("Tourelle Tek",Détail!$B$5:$B$30,0)),0)</f>
        <v>0</v>
      </c>
      <c r="K97" s="7" t="n">
        <f aca="false">IFERROR(INDEX(Détail!$M$5:$M$30,MATCH("Tourelle Tek",Détail!$B$5:$B$30,0)),0)</f>
        <v>0</v>
      </c>
      <c r="L97" s="7" t="n">
        <f aca="false">IFERROR(INDEX(Détail!$N$5:$N$30,MATCH("Tourelle Tek",Détail!$B$5:$B$30,0)),0)</f>
        <v>0</v>
      </c>
      <c r="M97" s="7" t="n">
        <f aca="false">IFERROR(INDEX(Détail!$O$5:$O$30,MATCH("Tourelle Tek",Détail!$B$5:$B$30,0)),0)</f>
        <v>0</v>
      </c>
      <c r="N97" s="7" t="n">
        <f aca="false">IFERROR(INDEX(Détail!$P$5:$P$30,MATCH("Tourelle Tek",Détail!$B$5:$B$30,0)),0)</f>
        <v>0</v>
      </c>
      <c r="O97" s="7" t="n">
        <f aca="false">IFERROR(INDEX(Détail!$Q$5:$Q$30,MATCH("Tourelle Tek",Détail!$B$5:$B$30,0)),0)</f>
        <v>0</v>
      </c>
      <c r="P97" s="7" t="n">
        <f aca="false">IFERROR(INDEX(Détail!$R$5:$R$30,MATCH("Tourelle Tek",Détail!$B$5:$B$30,0)),0)</f>
        <v>0</v>
      </c>
      <c r="Q97" s="14" t="n">
        <f aca="false">$B97*C97</f>
        <v>200</v>
      </c>
      <c r="R97" s="14" t="n">
        <f aca="false">$B97*D97</f>
        <v>100</v>
      </c>
      <c r="S97" s="14" t="n">
        <f aca="false">$B97*E97</f>
        <v>200</v>
      </c>
      <c r="T97" s="14" t="n">
        <f aca="false">$B97*F97</f>
        <v>100</v>
      </c>
      <c r="U97" s="14" t="n">
        <f aca="false">$B97*G97</f>
        <v>0</v>
      </c>
      <c r="V97" s="14" t="n">
        <f aca="false">$B97*H97</f>
        <v>6</v>
      </c>
      <c r="W97" s="14" t="n">
        <f aca="false">$B97*I97</f>
        <v>0</v>
      </c>
      <c r="X97" s="14" t="n">
        <f aca="false">$B97*J97</f>
        <v>0</v>
      </c>
      <c r="Y97" s="14" t="n">
        <f aca="false">$B97*K97</f>
        <v>0</v>
      </c>
      <c r="Z97" s="14" t="n">
        <f aca="false">$B97*L97</f>
        <v>0</v>
      </c>
      <c r="AA97" s="14" t="n">
        <f aca="false">$B97*M97</f>
        <v>0</v>
      </c>
      <c r="AB97" s="14" t="n">
        <f aca="false">$B97*N97</f>
        <v>0</v>
      </c>
      <c r="AC97" s="14" t="n">
        <f aca="false">$B97*O97</f>
        <v>0</v>
      </c>
      <c r="AD97" s="14" t="n">
        <f aca="false">$B97*P97</f>
        <v>0</v>
      </c>
    </row>
    <row r="98" customFormat="false" ht="15" hidden="false" customHeight="false" outlineLevel="0" collapsed="false">
      <c r="A98" s="6" t="s">
        <v>124</v>
      </c>
      <c r="B98" s="16" t="n">
        <v>2</v>
      </c>
      <c r="C98" s="7" t="n">
        <f aca="false">IFERROR(INDEX(Détail!$E$5:$E$30,MATCH("Bobine Tesla",Détail!$B$5:$B$30,0)),0)</f>
        <v>500</v>
      </c>
      <c r="D98" s="7" t="n">
        <f aca="false">IFERROR(INDEX(Détail!$F$5:$F$30,MATCH("Bobine Tesla",Détail!$B$5:$B$30,0)),0)</f>
        <v>0</v>
      </c>
      <c r="E98" s="7" t="n">
        <f aca="false">IFERROR(INDEX(Détail!$G$5:$G$30,MATCH("Bobine Tesla",Détail!$B$5:$B$30,0)),0)</f>
        <v>100</v>
      </c>
      <c r="F98" s="7" t="n">
        <f aca="false">IFERROR(INDEX(Détail!$H$5:$H$30,MATCH("Bobine Tesla",Détail!$B$5:$B$30,0)),0)</f>
        <v>300</v>
      </c>
      <c r="G98" s="7" t="n">
        <f aca="false">IFERROR(INDEX(Détail!$I$5:$I$30,MATCH("Bobine Tesla",Détail!$B$5:$B$30,0)),0)</f>
        <v>200</v>
      </c>
      <c r="H98" s="7" t="n">
        <f aca="false">IFERROR(INDEX(Détail!$J$5:$J$30,MATCH("Bobine Tesla",Détail!$B$5:$B$30,0)),0)</f>
        <v>0</v>
      </c>
      <c r="I98" s="7" t="n">
        <f aca="false">IFERROR(INDEX(Détail!$K$5:$K$30,MATCH("Bobine Tesla",Détail!$B$5:$B$30,0)),0)</f>
        <v>0</v>
      </c>
      <c r="J98" s="7" t="n">
        <f aca="false">IFERROR(INDEX(Détail!$L$5:$L$30,MATCH("Bobine Tesla",Détail!$B$5:$B$30,0)),0)</f>
        <v>0</v>
      </c>
      <c r="K98" s="7" t="n">
        <f aca="false">IFERROR(INDEX(Détail!$M$5:$M$30,MATCH("Bobine Tesla",Détail!$B$5:$B$30,0)),0)</f>
        <v>0</v>
      </c>
      <c r="L98" s="7" t="n">
        <f aca="false">IFERROR(INDEX(Détail!$N$5:$N$30,MATCH("Bobine Tesla",Détail!$B$5:$B$30,0)),0)</f>
        <v>0</v>
      </c>
      <c r="M98" s="7" t="n">
        <f aca="false">IFERROR(INDEX(Détail!$O$5:$O$30,MATCH("Bobine Tesla",Détail!$B$5:$B$30,0)),0)</f>
        <v>0</v>
      </c>
      <c r="N98" s="7" t="n">
        <f aca="false">IFERROR(INDEX(Détail!$P$5:$P$30,MATCH("Bobine Tesla",Détail!$B$5:$B$30,0)),0)</f>
        <v>0</v>
      </c>
      <c r="O98" s="7" t="n">
        <f aca="false">IFERROR(INDEX(Détail!$Q$5:$Q$30,MATCH("Bobine Tesla",Détail!$B$5:$B$30,0)),0)</f>
        <v>0</v>
      </c>
      <c r="P98" s="7" t="n">
        <f aca="false">IFERROR(INDEX(Détail!$R$5:$R$30,MATCH("Bobine Tesla",Détail!$B$5:$B$30,0)),0)</f>
        <v>0</v>
      </c>
      <c r="Q98" s="14" t="n">
        <f aca="false">$B98*C98</f>
        <v>1000</v>
      </c>
      <c r="R98" s="14" t="n">
        <f aca="false">$B98*D98</f>
        <v>0</v>
      </c>
      <c r="S98" s="14" t="n">
        <f aca="false">$B98*E98</f>
        <v>200</v>
      </c>
      <c r="T98" s="14" t="n">
        <f aca="false">$B98*F98</f>
        <v>600</v>
      </c>
      <c r="U98" s="14" t="n">
        <f aca="false">$B98*G98</f>
        <v>400</v>
      </c>
      <c r="V98" s="14" t="n">
        <f aca="false">$B98*H98</f>
        <v>0</v>
      </c>
      <c r="W98" s="14" t="n">
        <f aca="false">$B98*I98</f>
        <v>0</v>
      </c>
      <c r="X98" s="14" t="n">
        <f aca="false">$B98*J98</f>
        <v>0</v>
      </c>
      <c r="Y98" s="14" t="n">
        <f aca="false">$B98*K98</f>
        <v>0</v>
      </c>
      <c r="Z98" s="14" t="n">
        <f aca="false">$B98*L98</f>
        <v>0</v>
      </c>
      <c r="AA98" s="14" t="n">
        <f aca="false">$B98*M98</f>
        <v>0</v>
      </c>
      <c r="AB98" s="14" t="n">
        <f aca="false">$B98*N98</f>
        <v>0</v>
      </c>
      <c r="AC98" s="14" t="n">
        <f aca="false">$B98*O98</f>
        <v>0</v>
      </c>
      <c r="AD98" s="14" t="n">
        <f aca="false">$B98*P98</f>
        <v>0</v>
      </c>
    </row>
    <row r="99" customFormat="false" ht="15" hidden="false" customHeight="false" outlineLevel="0" collapsed="false">
      <c r="A99" s="6" t="s">
        <v>113</v>
      </c>
      <c r="B99" s="16" t="n">
        <v>1</v>
      </c>
      <c r="C99" s="7" t="n">
        <f aca="false">IFERROR(INDEX(Détail!$E$5:$E$30,MATCH("Mur métal",Détail!$B$5:$B$30,0)),0)</f>
        <v>25</v>
      </c>
      <c r="D99" s="7" t="n">
        <f aca="false">IFERROR(INDEX(Détail!$F$5:$F$30,MATCH("Mur métal",Détail!$B$5:$B$30,0)),0)</f>
        <v>7</v>
      </c>
      <c r="E99" s="7" t="n">
        <f aca="false">IFERROR(INDEX(Détail!$G$5:$G$30,MATCH("Mur métal",Détail!$B$5:$B$30,0)),0)</f>
        <v>0</v>
      </c>
      <c r="F99" s="7" t="n">
        <f aca="false">IFERROR(INDEX(Détail!$H$5:$H$30,MATCH("Mur métal",Détail!$B$5:$B$30,0)),0)</f>
        <v>0</v>
      </c>
      <c r="G99" s="7" t="n">
        <f aca="false">IFERROR(INDEX(Détail!$I$5:$I$30,MATCH("Mur métal",Détail!$B$5:$B$30,0)),0)</f>
        <v>0</v>
      </c>
      <c r="H99" s="7" t="n">
        <f aca="false">IFERROR(INDEX(Détail!$J$5:$J$30,MATCH("Mur métal",Détail!$B$5:$B$30,0)),0)</f>
        <v>0</v>
      </c>
      <c r="I99" s="7" t="n">
        <f aca="false">IFERROR(INDEX(Détail!$K$5:$K$30,MATCH("Mur métal",Détail!$B$5:$B$30,0)),0)</f>
        <v>0</v>
      </c>
      <c r="J99" s="7" t="n">
        <f aca="false">IFERROR(INDEX(Détail!$L$5:$L$30,MATCH("Mur métal",Détail!$B$5:$B$30,0)),0)</f>
        <v>0</v>
      </c>
      <c r="K99" s="7" t="n">
        <f aca="false">IFERROR(INDEX(Détail!$M$5:$M$30,MATCH("Mur métal",Détail!$B$5:$B$30,0)),0)</f>
        <v>0</v>
      </c>
      <c r="L99" s="7" t="n">
        <f aca="false">IFERROR(INDEX(Détail!$N$5:$N$30,MATCH("Mur métal",Détail!$B$5:$B$30,0)),0)</f>
        <v>0</v>
      </c>
      <c r="M99" s="7" t="n">
        <f aca="false">IFERROR(INDEX(Détail!$O$5:$O$30,MATCH("Mur métal",Détail!$B$5:$B$30,0)),0)</f>
        <v>0</v>
      </c>
      <c r="N99" s="7" t="n">
        <f aca="false">IFERROR(INDEX(Détail!$P$5:$P$30,MATCH("Mur métal",Détail!$B$5:$B$30,0)),0)</f>
        <v>0</v>
      </c>
      <c r="O99" s="7" t="n">
        <f aca="false">IFERROR(INDEX(Détail!$Q$5:$Q$30,MATCH("Mur métal",Détail!$B$5:$B$30,0)),0)</f>
        <v>0</v>
      </c>
      <c r="P99" s="7" t="n">
        <f aca="false">IFERROR(INDEX(Détail!$R$5:$R$30,MATCH("Mur métal",Détail!$B$5:$B$30,0)),0)</f>
        <v>0</v>
      </c>
      <c r="Q99" s="14" t="n">
        <f aca="false">$B99*C99</f>
        <v>25</v>
      </c>
      <c r="R99" s="14" t="n">
        <f aca="false">$B99*D99</f>
        <v>7</v>
      </c>
      <c r="S99" s="14" t="n">
        <f aca="false">$B99*E99</f>
        <v>0</v>
      </c>
      <c r="T99" s="14" t="n">
        <f aca="false">$B99*F99</f>
        <v>0</v>
      </c>
      <c r="U99" s="14" t="n">
        <f aca="false">$B99*G99</f>
        <v>0</v>
      </c>
      <c r="V99" s="14" t="n">
        <f aca="false">$B99*H99</f>
        <v>0</v>
      </c>
      <c r="W99" s="14" t="n">
        <f aca="false">$B99*I99</f>
        <v>0</v>
      </c>
      <c r="X99" s="14" t="n">
        <f aca="false">$B99*J99</f>
        <v>0</v>
      </c>
      <c r="Y99" s="14" t="n">
        <f aca="false">$B99*K99</f>
        <v>0</v>
      </c>
      <c r="Z99" s="14" t="n">
        <f aca="false">$B99*L99</f>
        <v>0</v>
      </c>
      <c r="AA99" s="14" t="n">
        <f aca="false">$B99*M99</f>
        <v>0</v>
      </c>
      <c r="AB99" s="14" t="n">
        <f aca="false">$B99*N99</f>
        <v>0</v>
      </c>
      <c r="AC99" s="14" t="n">
        <f aca="false">$B99*O99</f>
        <v>0</v>
      </c>
      <c r="AD99" s="14" t="n">
        <f aca="false">$B99*P99</f>
        <v>0</v>
      </c>
    </row>
    <row r="100" customFormat="false" ht="15" hidden="false" customHeight="false" outlineLevel="0" collapsed="false">
      <c r="A100" s="8" t="s">
        <v>99</v>
      </c>
      <c r="B100" s="9" t="n">
        <f aca="false">SUM(B95:B99)</f>
        <v>11</v>
      </c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9" t="n">
        <f aca="false">SUM(Q95:Q99)</f>
        <v>2305</v>
      </c>
      <c r="R100" s="9" t="n">
        <f aca="false">SUM(R95:R99)</f>
        <v>507</v>
      </c>
      <c r="S100" s="9" t="n">
        <f aca="false">SUM(S95:S99)</f>
        <v>940</v>
      </c>
      <c r="T100" s="9" t="n">
        <f aca="false">SUM(T95:T99)</f>
        <v>840</v>
      </c>
      <c r="U100" s="9" t="n">
        <f aca="false">SUM(U95:U99)</f>
        <v>400</v>
      </c>
      <c r="V100" s="9" t="n">
        <f aca="false">SUM(V95:V99)</f>
        <v>6</v>
      </c>
      <c r="W100" s="9" t="n">
        <f aca="false">SUM(W95:W99)</f>
        <v>0</v>
      </c>
      <c r="X100" s="9" t="n">
        <f aca="false">SUM(X95:X99)</f>
        <v>0</v>
      </c>
      <c r="Y100" s="9" t="n">
        <f aca="false">SUM(Y95:Y99)</f>
        <v>0</v>
      </c>
      <c r="Z100" s="9" t="n">
        <f aca="false">SUM(Z95:Z99)</f>
        <v>0</v>
      </c>
      <c r="AA100" s="9" t="n">
        <f aca="false">SUM(AA95:AA99)</f>
        <v>160</v>
      </c>
      <c r="AB100" s="9" t="n">
        <f aca="false">SUM(AB95:AB99)</f>
        <v>200</v>
      </c>
      <c r="AC100" s="9" t="n">
        <f aca="false">SUM(AC95:AC99)</f>
        <v>160</v>
      </c>
      <c r="AD100" s="9" t="n">
        <f aca="false">SUM(AD95:AD99)</f>
        <v>400</v>
      </c>
    </row>
    <row r="101" customFormat="false" ht="15" hidden="false" customHeight="false" outlineLevel="0" collapsed="false">
      <c r="A101" s="8" t="s">
        <v>36</v>
      </c>
      <c r="B101" s="9" t="n">
        <f aca="false">SUM(B95:B99)-SUMIF(A95:A99,"* (inventaire)",B95:B99)</f>
        <v>5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9" t="n">
        <f aca="false">SUM(Q95:Q99)-SUMIF(A95:A99,"* (inventaire)",Q95:Q99)</f>
        <v>25</v>
      </c>
      <c r="R101" s="9" t="n">
        <f aca="false">SUM(R95:R99)-SUMIF(A95:A99,"* (inventaire)",R95:R99)</f>
        <v>7</v>
      </c>
      <c r="S101" s="9" t="n">
        <f aca="false">SUM(S95:S99)-SUMIF(A95:A99,"* (inventaire)",S95:S99)</f>
        <v>0</v>
      </c>
      <c r="T101" s="9" t="n">
        <f aca="false">SUM(T95:T99)-SUMIF(A95:A99,"* (inventaire)",T95:T99)</f>
        <v>0</v>
      </c>
      <c r="U101" s="9" t="n">
        <f aca="false">SUM(U95:U99)-SUMIF(A95:A99,"* (inventaire)",U95:U99)</f>
        <v>0</v>
      </c>
      <c r="V101" s="9" t="n">
        <f aca="false">SUM(V95:V99)-SUMIF(A95:A99,"* (inventaire)",V95:V99)</f>
        <v>0</v>
      </c>
      <c r="W101" s="9" t="n">
        <f aca="false">SUM(W95:W99)-SUMIF(A95:A99,"* (inventaire)",W95:W99)</f>
        <v>0</v>
      </c>
      <c r="X101" s="9" t="n">
        <f aca="false">SUM(X95:X99)-SUMIF(A95:A99,"* (inventaire)",X95:X99)</f>
        <v>0</v>
      </c>
      <c r="Y101" s="9" t="n">
        <f aca="false">SUM(Y95:Y99)-SUMIF(A95:A99,"* (inventaire)",Y95:Y99)</f>
        <v>0</v>
      </c>
      <c r="Z101" s="9" t="n">
        <f aca="false">SUM(Z95:Z99)-SUMIF(A95:A99,"* (inventaire)",Z95:Z99)</f>
        <v>0</v>
      </c>
      <c r="AA101" s="9" t="n">
        <f aca="false">SUM(AA95:AA99)-SUMIF(A95:A99,"* (inventaire)",AA95:AA99)</f>
        <v>160</v>
      </c>
      <c r="AB101" s="9" t="n">
        <f aca="false">SUM(AB95:AB99)-SUMIF(A95:A99,"* (inventaire)",AB95:AB99)</f>
        <v>200</v>
      </c>
      <c r="AC101" s="9" t="n">
        <f aca="false">SUM(AC95:AC99)-SUMIF(A95:A99,"* (inventaire)",AC95:AC99)</f>
        <v>160</v>
      </c>
      <c r="AD101" s="9" t="n">
        <f aca="false">SUM(AD95:AD99)-SUMIF(A95:A99,"* (inventaire)",AD95:AD99)</f>
        <v>400</v>
      </c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5" hidden="false" customHeight="false" outlineLevel="0" collapsed="false">
      <c r="A103" s="15" t="s">
        <v>135</v>
      </c>
      <c r="B103" s="2"/>
      <c r="C103" s="3" t="s">
        <v>136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30" hidden="false" customHeight="true" outlineLevel="0" collapsed="false">
      <c r="A104" s="11" t="s">
        <v>67</v>
      </c>
      <c r="B104" s="11" t="s">
        <v>68</v>
      </c>
      <c r="C104" s="11" t="s">
        <v>69</v>
      </c>
      <c r="D104" s="11" t="s">
        <v>70</v>
      </c>
      <c r="E104" s="11" t="s">
        <v>71</v>
      </c>
      <c r="F104" s="11" t="s">
        <v>72</v>
      </c>
      <c r="G104" s="11" t="s">
        <v>73</v>
      </c>
      <c r="H104" s="11" t="s">
        <v>74</v>
      </c>
      <c r="I104" s="11" t="s">
        <v>75</v>
      </c>
      <c r="J104" s="11" t="s">
        <v>76</v>
      </c>
      <c r="K104" s="11" t="s">
        <v>77</v>
      </c>
      <c r="L104" s="11" t="s">
        <v>78</v>
      </c>
      <c r="M104" s="11" t="s">
        <v>79</v>
      </c>
      <c r="N104" s="11" t="s">
        <v>80</v>
      </c>
      <c r="O104" s="11" t="s">
        <v>81</v>
      </c>
      <c r="P104" s="11" t="s">
        <v>82</v>
      </c>
      <c r="Q104" s="11" t="s">
        <v>83</v>
      </c>
      <c r="R104" s="11" t="s">
        <v>84</v>
      </c>
      <c r="S104" s="11" t="s">
        <v>85</v>
      </c>
      <c r="T104" s="11" t="s">
        <v>86</v>
      </c>
      <c r="U104" s="11" t="s">
        <v>87</v>
      </c>
      <c r="V104" s="11" t="s">
        <v>88</v>
      </c>
      <c r="W104" s="11" t="s">
        <v>89</v>
      </c>
      <c r="X104" s="11" t="s">
        <v>90</v>
      </c>
      <c r="Y104" s="11" t="s">
        <v>91</v>
      </c>
      <c r="Z104" s="11" t="s">
        <v>92</v>
      </c>
      <c r="AA104" s="11" t="s">
        <v>93</v>
      </c>
      <c r="AB104" s="11" t="s">
        <v>94</v>
      </c>
      <c r="AC104" s="11" t="s">
        <v>95</v>
      </c>
      <c r="AD104" s="11" t="s">
        <v>96</v>
      </c>
    </row>
    <row r="105" customFormat="false" ht="15" hidden="false" customHeight="false" outlineLevel="0" collapsed="false">
      <c r="A105" s="6" t="s">
        <v>113</v>
      </c>
      <c r="B105" s="16" t="n">
        <v>52</v>
      </c>
      <c r="C105" s="7" t="n">
        <f aca="false">IFERROR(INDEX(Détail!$E$5:$E$30,MATCH("Mur métal",Détail!$B$5:$B$30,0)),0)</f>
        <v>25</v>
      </c>
      <c r="D105" s="7" t="n">
        <f aca="false">IFERROR(INDEX(Détail!$F$5:$F$30,MATCH("Mur métal",Détail!$B$5:$B$30,0)),0)</f>
        <v>7</v>
      </c>
      <c r="E105" s="7" t="n">
        <f aca="false">IFERROR(INDEX(Détail!$G$5:$G$30,MATCH("Mur métal",Détail!$B$5:$B$30,0)),0)</f>
        <v>0</v>
      </c>
      <c r="F105" s="7" t="n">
        <f aca="false">IFERROR(INDEX(Détail!$H$5:$H$30,MATCH("Mur métal",Détail!$B$5:$B$30,0)),0)</f>
        <v>0</v>
      </c>
      <c r="G105" s="7" t="n">
        <f aca="false">IFERROR(INDEX(Détail!$I$5:$I$30,MATCH("Mur métal",Détail!$B$5:$B$30,0)),0)</f>
        <v>0</v>
      </c>
      <c r="H105" s="7" t="n">
        <f aca="false">IFERROR(INDEX(Détail!$J$5:$J$30,MATCH("Mur métal",Détail!$B$5:$B$30,0)),0)</f>
        <v>0</v>
      </c>
      <c r="I105" s="7" t="n">
        <f aca="false">IFERROR(INDEX(Détail!$K$5:$K$30,MATCH("Mur métal",Détail!$B$5:$B$30,0)),0)</f>
        <v>0</v>
      </c>
      <c r="J105" s="7" t="n">
        <f aca="false">IFERROR(INDEX(Détail!$L$5:$L$30,MATCH("Mur métal",Détail!$B$5:$B$30,0)),0)</f>
        <v>0</v>
      </c>
      <c r="K105" s="7" t="n">
        <f aca="false">IFERROR(INDEX(Détail!$M$5:$M$30,MATCH("Mur métal",Détail!$B$5:$B$30,0)),0)</f>
        <v>0</v>
      </c>
      <c r="L105" s="7" t="n">
        <f aca="false">IFERROR(INDEX(Détail!$N$5:$N$30,MATCH("Mur métal",Détail!$B$5:$B$30,0)),0)</f>
        <v>0</v>
      </c>
      <c r="M105" s="7" t="n">
        <f aca="false">IFERROR(INDEX(Détail!$O$5:$O$30,MATCH("Mur métal",Détail!$B$5:$B$30,0)),0)</f>
        <v>0</v>
      </c>
      <c r="N105" s="7" t="n">
        <f aca="false">IFERROR(INDEX(Détail!$P$5:$P$30,MATCH("Mur métal",Détail!$B$5:$B$30,0)),0)</f>
        <v>0</v>
      </c>
      <c r="O105" s="7" t="n">
        <f aca="false">IFERROR(INDEX(Détail!$Q$5:$Q$30,MATCH("Mur métal",Détail!$B$5:$B$30,0)),0)</f>
        <v>0</v>
      </c>
      <c r="P105" s="7" t="n">
        <f aca="false">IFERROR(INDEX(Détail!$R$5:$R$30,MATCH("Mur métal",Détail!$B$5:$B$30,0)),0)</f>
        <v>0</v>
      </c>
      <c r="Q105" s="14" t="n">
        <f aca="false">$B105*C105</f>
        <v>1300</v>
      </c>
      <c r="R105" s="14" t="n">
        <f aca="false">$B105*D105</f>
        <v>364</v>
      </c>
      <c r="S105" s="14" t="n">
        <f aca="false">$B105*E105</f>
        <v>0</v>
      </c>
      <c r="T105" s="14" t="n">
        <f aca="false">$B105*F105</f>
        <v>0</v>
      </c>
      <c r="U105" s="14" t="n">
        <f aca="false">$B105*G105</f>
        <v>0</v>
      </c>
      <c r="V105" s="14" t="n">
        <f aca="false">$B105*H105</f>
        <v>0</v>
      </c>
      <c r="W105" s="14" t="n">
        <f aca="false">$B105*I105</f>
        <v>0</v>
      </c>
      <c r="X105" s="14" t="n">
        <f aca="false">$B105*J105</f>
        <v>0</v>
      </c>
      <c r="Y105" s="14" t="n">
        <f aca="false">$B105*K105</f>
        <v>0</v>
      </c>
      <c r="Z105" s="14" t="n">
        <f aca="false">$B105*L105</f>
        <v>0</v>
      </c>
      <c r="AA105" s="14" t="n">
        <f aca="false">$B105*M105</f>
        <v>0</v>
      </c>
      <c r="AB105" s="14" t="n">
        <f aca="false">$B105*N105</f>
        <v>0</v>
      </c>
      <c r="AC105" s="14" t="n">
        <f aca="false">$B105*O105</f>
        <v>0</v>
      </c>
      <c r="AD105" s="14" t="n">
        <f aca="false">$B105*P105</f>
        <v>0</v>
      </c>
    </row>
    <row r="106" customFormat="false" ht="15" hidden="false" customHeight="false" outlineLevel="0" collapsed="false">
      <c r="A106" s="6" t="s">
        <v>102</v>
      </c>
      <c r="B106" s="16" t="n">
        <v>24</v>
      </c>
      <c r="C106" s="7" t="n">
        <f aca="false">IFERROR(INDEX(Détail!$E$5:$E$30,MATCH("Pilier métal",Détail!$B$5:$B$30,0)),0)</f>
        <v>25</v>
      </c>
      <c r="D106" s="7" t="n">
        <f aca="false">IFERROR(INDEX(Détail!$F$5:$F$30,MATCH("Pilier métal",Détail!$B$5:$B$30,0)),0)</f>
        <v>7</v>
      </c>
      <c r="E106" s="7" t="n">
        <f aca="false">IFERROR(INDEX(Détail!$G$5:$G$30,MATCH("Pilier métal",Détail!$B$5:$B$30,0)),0)</f>
        <v>0</v>
      </c>
      <c r="F106" s="7" t="n">
        <f aca="false">IFERROR(INDEX(Détail!$H$5:$H$30,MATCH("Pilier métal",Détail!$B$5:$B$30,0)),0)</f>
        <v>0</v>
      </c>
      <c r="G106" s="7" t="n">
        <f aca="false">IFERROR(INDEX(Détail!$I$5:$I$30,MATCH("Pilier métal",Détail!$B$5:$B$30,0)),0)</f>
        <v>0</v>
      </c>
      <c r="H106" s="7" t="n">
        <f aca="false">IFERROR(INDEX(Détail!$J$5:$J$30,MATCH("Pilier métal",Détail!$B$5:$B$30,0)),0)</f>
        <v>0</v>
      </c>
      <c r="I106" s="7" t="n">
        <f aca="false">IFERROR(INDEX(Détail!$K$5:$K$30,MATCH("Pilier métal",Détail!$B$5:$B$30,0)),0)</f>
        <v>0</v>
      </c>
      <c r="J106" s="7" t="n">
        <f aca="false">IFERROR(INDEX(Détail!$L$5:$L$30,MATCH("Pilier métal",Détail!$B$5:$B$30,0)),0)</f>
        <v>0</v>
      </c>
      <c r="K106" s="7" t="n">
        <f aca="false">IFERROR(INDEX(Détail!$M$5:$M$30,MATCH("Pilier métal",Détail!$B$5:$B$30,0)),0)</f>
        <v>0</v>
      </c>
      <c r="L106" s="7" t="n">
        <f aca="false">IFERROR(INDEX(Détail!$N$5:$N$30,MATCH("Pilier métal",Détail!$B$5:$B$30,0)),0)</f>
        <v>0</v>
      </c>
      <c r="M106" s="7" t="n">
        <f aca="false">IFERROR(INDEX(Détail!$O$5:$O$30,MATCH("Pilier métal",Détail!$B$5:$B$30,0)),0)</f>
        <v>0</v>
      </c>
      <c r="N106" s="7" t="n">
        <f aca="false">IFERROR(INDEX(Détail!$P$5:$P$30,MATCH("Pilier métal",Détail!$B$5:$B$30,0)),0)</f>
        <v>0</v>
      </c>
      <c r="O106" s="7" t="n">
        <f aca="false">IFERROR(INDEX(Détail!$Q$5:$Q$30,MATCH("Pilier métal",Détail!$B$5:$B$30,0)),0)</f>
        <v>0</v>
      </c>
      <c r="P106" s="7" t="n">
        <f aca="false">IFERROR(INDEX(Détail!$R$5:$R$30,MATCH("Pilier métal",Détail!$B$5:$B$30,0)),0)</f>
        <v>0</v>
      </c>
      <c r="Q106" s="14" t="n">
        <f aca="false">$B106*C106</f>
        <v>600</v>
      </c>
      <c r="R106" s="14" t="n">
        <f aca="false">$B106*D106</f>
        <v>168</v>
      </c>
      <c r="S106" s="14" t="n">
        <f aca="false">$B106*E106</f>
        <v>0</v>
      </c>
      <c r="T106" s="14" t="n">
        <f aca="false">$B106*F106</f>
        <v>0</v>
      </c>
      <c r="U106" s="14" t="n">
        <f aca="false">$B106*G106</f>
        <v>0</v>
      </c>
      <c r="V106" s="14" t="n">
        <f aca="false">$B106*H106</f>
        <v>0</v>
      </c>
      <c r="W106" s="14" t="n">
        <f aca="false">$B106*I106</f>
        <v>0</v>
      </c>
      <c r="X106" s="14" t="n">
        <f aca="false">$B106*J106</f>
        <v>0</v>
      </c>
      <c r="Y106" s="14" t="n">
        <f aca="false">$B106*K106</f>
        <v>0</v>
      </c>
      <c r="Z106" s="14" t="n">
        <f aca="false">$B106*L106</f>
        <v>0</v>
      </c>
      <c r="AA106" s="14" t="n">
        <f aca="false">$B106*M106</f>
        <v>0</v>
      </c>
      <c r="AB106" s="14" t="n">
        <f aca="false">$B106*N106</f>
        <v>0</v>
      </c>
      <c r="AC106" s="14" t="n">
        <f aca="false">$B106*O106</f>
        <v>0</v>
      </c>
      <c r="AD106" s="14" t="n">
        <f aca="false">$B106*P106</f>
        <v>0</v>
      </c>
    </row>
    <row r="107" customFormat="false" ht="15" hidden="false" customHeight="false" outlineLevel="0" collapsed="false">
      <c r="A107" s="8" t="s">
        <v>99</v>
      </c>
      <c r="B107" s="9" t="n">
        <f aca="false">SUM(B105:B106)</f>
        <v>76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9" t="n">
        <f aca="false">SUM(Q105:Q106)</f>
        <v>1900</v>
      </c>
      <c r="R107" s="9" t="n">
        <f aca="false">SUM(R105:R106)</f>
        <v>532</v>
      </c>
      <c r="S107" s="9" t="n">
        <f aca="false">SUM(S105:S106)</f>
        <v>0</v>
      </c>
      <c r="T107" s="9" t="n">
        <f aca="false">SUM(T105:T106)</f>
        <v>0</v>
      </c>
      <c r="U107" s="9" t="n">
        <f aca="false">SUM(U105:U106)</f>
        <v>0</v>
      </c>
      <c r="V107" s="9" t="n">
        <f aca="false">SUM(V105:V106)</f>
        <v>0</v>
      </c>
      <c r="W107" s="9" t="n">
        <f aca="false">SUM(W105:W106)</f>
        <v>0</v>
      </c>
      <c r="X107" s="9" t="n">
        <f aca="false">SUM(X105:X106)</f>
        <v>0</v>
      </c>
      <c r="Y107" s="9" t="n">
        <f aca="false">SUM(Y105:Y106)</f>
        <v>0</v>
      </c>
      <c r="Z107" s="9" t="n">
        <f aca="false">SUM(Z105:Z106)</f>
        <v>0</v>
      </c>
      <c r="AA107" s="9" t="n">
        <f aca="false">SUM(AA105:AA106)</f>
        <v>0</v>
      </c>
      <c r="AB107" s="9" t="n">
        <f aca="false">SUM(AB105:AB106)</f>
        <v>0</v>
      </c>
      <c r="AC107" s="9" t="n">
        <f aca="false">SUM(AC105:AC106)</f>
        <v>0</v>
      </c>
      <c r="AD107" s="9" t="n">
        <f aca="false">SUM(AD105:AD106)</f>
        <v>0</v>
      </c>
    </row>
    <row r="108" customFormat="false" ht="15" hidden="false" customHeight="false" outlineLevel="0" collapsed="false">
      <c r="A108" s="8" t="s">
        <v>36</v>
      </c>
      <c r="B108" s="9" t="n">
        <f aca="false">SUM(B105:B106)-SUMIF(A105:A106,"* (inventaire)",B105:B106)</f>
        <v>76</v>
      </c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9" t="n">
        <f aca="false">SUM(Q105:Q106)-SUMIF(A105:A106,"* (inventaire)",Q105:Q106)</f>
        <v>1900</v>
      </c>
      <c r="R108" s="9" t="n">
        <f aca="false">SUM(R105:R106)-SUMIF(A105:A106,"* (inventaire)",R105:R106)</f>
        <v>532</v>
      </c>
      <c r="S108" s="9" t="n">
        <f aca="false">SUM(S105:S106)-SUMIF(A105:A106,"* (inventaire)",S105:S106)</f>
        <v>0</v>
      </c>
      <c r="T108" s="9" t="n">
        <f aca="false">SUM(T105:T106)-SUMIF(A105:A106,"* (inventaire)",T105:T106)</f>
        <v>0</v>
      </c>
      <c r="U108" s="9" t="n">
        <f aca="false">SUM(U105:U106)-SUMIF(A105:A106,"* (inventaire)",U105:U106)</f>
        <v>0</v>
      </c>
      <c r="V108" s="9" t="n">
        <f aca="false">SUM(V105:V106)-SUMIF(A105:A106,"* (inventaire)",V105:V106)</f>
        <v>0</v>
      </c>
      <c r="W108" s="9" t="n">
        <f aca="false">SUM(W105:W106)-SUMIF(A105:A106,"* (inventaire)",W105:W106)</f>
        <v>0</v>
      </c>
      <c r="X108" s="9" t="n">
        <f aca="false">SUM(X105:X106)-SUMIF(A105:A106,"* (inventaire)",X105:X106)</f>
        <v>0</v>
      </c>
      <c r="Y108" s="9" t="n">
        <f aca="false">SUM(Y105:Y106)-SUMIF(A105:A106,"* (inventaire)",Y105:Y106)</f>
        <v>0</v>
      </c>
      <c r="Z108" s="9" t="n">
        <f aca="false">SUM(Z105:Z106)-SUMIF(A105:A106,"* (inventaire)",Z105:Z106)</f>
        <v>0</v>
      </c>
      <c r="AA108" s="9" t="n">
        <f aca="false">SUM(AA105:AA106)-SUMIF(A105:A106,"* (inventaire)",AA105:AA106)</f>
        <v>0</v>
      </c>
      <c r="AB108" s="9" t="n">
        <f aca="false">SUM(AB105:AB106)-SUMIF(A105:A106,"* (inventaire)",AB105:AB106)</f>
        <v>0</v>
      </c>
      <c r="AC108" s="9" t="n">
        <f aca="false">SUM(AC105:AC106)-SUMIF(A105:A106,"* (inventaire)",AC105:AC106)</f>
        <v>0</v>
      </c>
      <c r="AD108" s="9" t="n">
        <f aca="false">SUM(AD105:AD106)-SUMIF(A105:A106,"* (inventaire)",AD105:AD106)</f>
        <v>0</v>
      </c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5" hidden="false" customHeight="false" outlineLevel="0" collapsed="false">
      <c r="A110" s="15" t="s">
        <v>137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30" hidden="false" customHeight="true" outlineLevel="0" collapsed="false">
      <c r="A111" s="11" t="s">
        <v>67</v>
      </c>
      <c r="B111" s="11" t="s">
        <v>68</v>
      </c>
      <c r="C111" s="11" t="s">
        <v>69</v>
      </c>
      <c r="D111" s="11" t="s">
        <v>70</v>
      </c>
      <c r="E111" s="11" t="s">
        <v>71</v>
      </c>
      <c r="F111" s="11" t="s">
        <v>72</v>
      </c>
      <c r="G111" s="11" t="s">
        <v>73</v>
      </c>
      <c r="H111" s="11" t="s">
        <v>74</v>
      </c>
      <c r="I111" s="11" t="s">
        <v>75</v>
      </c>
      <c r="J111" s="11" t="s">
        <v>76</v>
      </c>
      <c r="K111" s="11" t="s">
        <v>77</v>
      </c>
      <c r="L111" s="11" t="s">
        <v>78</v>
      </c>
      <c r="M111" s="11" t="s">
        <v>79</v>
      </c>
      <c r="N111" s="11" t="s">
        <v>80</v>
      </c>
      <c r="O111" s="11" t="s">
        <v>81</v>
      </c>
      <c r="P111" s="11" t="s">
        <v>82</v>
      </c>
      <c r="Q111" s="11" t="s">
        <v>83</v>
      </c>
      <c r="R111" s="11" t="s">
        <v>84</v>
      </c>
      <c r="S111" s="11" t="s">
        <v>85</v>
      </c>
      <c r="T111" s="11" t="s">
        <v>86</v>
      </c>
      <c r="U111" s="11" t="s">
        <v>87</v>
      </c>
      <c r="V111" s="11" t="s">
        <v>88</v>
      </c>
      <c r="W111" s="11" t="s">
        <v>89</v>
      </c>
      <c r="X111" s="11" t="s">
        <v>90</v>
      </c>
      <c r="Y111" s="11" t="s">
        <v>91</v>
      </c>
      <c r="Z111" s="11" t="s">
        <v>92</v>
      </c>
      <c r="AA111" s="11" t="s">
        <v>93</v>
      </c>
      <c r="AB111" s="11" t="s">
        <v>94</v>
      </c>
      <c r="AC111" s="11" t="s">
        <v>95</v>
      </c>
      <c r="AD111" s="11" t="s">
        <v>96</v>
      </c>
    </row>
    <row r="112" customFormat="false" ht="15" hidden="false" customHeight="false" outlineLevel="0" collapsed="false">
      <c r="A112" s="6" t="s">
        <v>138</v>
      </c>
      <c r="B112" s="16" t="n">
        <v>74</v>
      </c>
      <c r="C112" s="7" t="n">
        <f aca="false">IFERROR(INDEX(Détail!$E$5:$E$30,MATCH("Mur de pics métal",Détail!$B$5:$B$30,0)),0)</f>
        <v>25</v>
      </c>
      <c r="D112" s="7" t="n">
        <f aca="false">IFERROR(INDEX(Détail!$F$5:$F$30,MATCH("Mur de pics métal",Détail!$B$5:$B$30,0)),0)</f>
        <v>0</v>
      </c>
      <c r="E112" s="7" t="n">
        <f aca="false">IFERROR(INDEX(Détail!$G$5:$G$30,MATCH("Mur de pics métal",Détail!$B$5:$B$30,0)),0)</f>
        <v>0</v>
      </c>
      <c r="F112" s="7" t="n">
        <f aca="false">IFERROR(INDEX(Détail!$H$5:$H$30,MATCH("Mur de pics métal",Détail!$B$5:$B$30,0)),0)</f>
        <v>0</v>
      </c>
      <c r="G112" s="7" t="n">
        <f aca="false">IFERROR(INDEX(Détail!$I$5:$I$30,MATCH("Mur de pics métal",Détail!$B$5:$B$30,0)),0)</f>
        <v>0</v>
      </c>
      <c r="H112" s="7" t="n">
        <f aca="false">IFERROR(INDEX(Détail!$J$5:$J$30,MATCH("Mur de pics métal",Détail!$B$5:$B$30,0)),0)</f>
        <v>0</v>
      </c>
      <c r="I112" s="7" t="n">
        <f aca="false">IFERROR(INDEX(Détail!$K$5:$K$30,MATCH("Mur de pics métal",Détail!$B$5:$B$30,0)),0)</f>
        <v>0</v>
      </c>
      <c r="J112" s="7" t="n">
        <f aca="false">IFERROR(INDEX(Détail!$L$5:$L$30,MATCH("Mur de pics métal",Détail!$B$5:$B$30,0)),0)</f>
        <v>0</v>
      </c>
      <c r="K112" s="7" t="n">
        <f aca="false">IFERROR(INDEX(Détail!$M$5:$M$30,MATCH("Mur de pics métal",Détail!$B$5:$B$30,0)),0)</f>
        <v>0</v>
      </c>
      <c r="L112" s="7" t="n">
        <f aca="false">IFERROR(INDEX(Détail!$N$5:$N$30,MATCH("Mur de pics métal",Détail!$B$5:$B$30,0)),0)</f>
        <v>20</v>
      </c>
      <c r="M112" s="7" t="n">
        <f aca="false">IFERROR(INDEX(Détail!$O$5:$O$30,MATCH("Mur de pics métal",Détail!$B$5:$B$30,0)),0)</f>
        <v>30</v>
      </c>
      <c r="N112" s="7" t="n">
        <f aca="false">IFERROR(INDEX(Détail!$P$5:$P$30,MATCH("Mur de pics métal",Détail!$B$5:$B$30,0)),0)</f>
        <v>0</v>
      </c>
      <c r="O112" s="7" t="n">
        <f aca="false">IFERROR(INDEX(Détail!$Q$5:$Q$30,MATCH("Mur de pics métal",Détail!$B$5:$B$30,0)),0)</f>
        <v>0</v>
      </c>
      <c r="P112" s="7" t="n">
        <f aca="false">IFERROR(INDEX(Détail!$R$5:$R$30,MATCH("Mur de pics métal",Détail!$B$5:$B$30,0)),0)</f>
        <v>0</v>
      </c>
      <c r="Q112" s="14" t="n">
        <f aca="false">$B112*C112</f>
        <v>1850</v>
      </c>
      <c r="R112" s="14" t="n">
        <f aca="false">$B112*D112</f>
        <v>0</v>
      </c>
      <c r="S112" s="14" t="n">
        <f aca="false">$B112*E112</f>
        <v>0</v>
      </c>
      <c r="T112" s="14" t="n">
        <f aca="false">$B112*F112</f>
        <v>0</v>
      </c>
      <c r="U112" s="14" t="n">
        <f aca="false">$B112*G112</f>
        <v>0</v>
      </c>
      <c r="V112" s="14" t="n">
        <f aca="false">$B112*H112</f>
        <v>0</v>
      </c>
      <c r="W112" s="14" t="n">
        <f aca="false">$B112*I112</f>
        <v>0</v>
      </c>
      <c r="X112" s="14" t="n">
        <f aca="false">$B112*J112</f>
        <v>0</v>
      </c>
      <c r="Y112" s="14" t="n">
        <f aca="false">$B112*K112</f>
        <v>0</v>
      </c>
      <c r="Z112" s="14" t="n">
        <f aca="false">$B112*L112</f>
        <v>1480</v>
      </c>
      <c r="AA112" s="14" t="n">
        <f aca="false">$B112*M112</f>
        <v>2220</v>
      </c>
      <c r="AB112" s="14" t="n">
        <f aca="false">$B112*N112</f>
        <v>0</v>
      </c>
      <c r="AC112" s="14" t="n">
        <f aca="false">$B112*O112</f>
        <v>0</v>
      </c>
      <c r="AD112" s="14" t="n">
        <f aca="false">$B112*P112</f>
        <v>0</v>
      </c>
    </row>
    <row r="113" customFormat="false" ht="15" hidden="false" customHeight="false" outlineLevel="0" collapsed="false">
      <c r="A113" s="6" t="s">
        <v>139</v>
      </c>
      <c r="B113" s="16" t="n">
        <v>20</v>
      </c>
      <c r="C113" s="7" t="n">
        <f aca="false">IFERROR(INDEX(Détail!$E$5:$E$30,MATCH("Stockage dédié Tek (Tek Dedicated Storage)",Détail!$B$5:$B$30,0)),0)</f>
        <v>125</v>
      </c>
      <c r="D113" s="7" t="n">
        <f aca="false">IFERROR(INDEX(Détail!$F$5:$F$30,MATCH("Stockage dédié Tek (Tek Dedicated Storage)",Détail!$B$5:$B$30,0)),0)</f>
        <v>0</v>
      </c>
      <c r="E113" s="7" t="n">
        <f aca="false">IFERROR(INDEX(Détail!$G$5:$G$30,MATCH("Stockage dédié Tek (Tek Dedicated Storage)",Détail!$B$5:$B$30,0)),0)</f>
        <v>0</v>
      </c>
      <c r="F113" s="7" t="n">
        <f aca="false">IFERROR(INDEX(Détail!$H$5:$H$30,MATCH("Stockage dédié Tek (Tek Dedicated Storage)",Détail!$B$5:$B$30,0)),0)</f>
        <v>55</v>
      </c>
      <c r="G113" s="7" t="n">
        <f aca="false">IFERROR(INDEX(Détail!$I$5:$I$30,MATCH("Stockage dédié Tek (Tek Dedicated Storage)",Détail!$B$5:$B$30,0)),0)</f>
        <v>75</v>
      </c>
      <c r="H113" s="7" t="n">
        <f aca="false">IFERROR(INDEX(Détail!$J$5:$J$30,MATCH("Stockage dédié Tek (Tek Dedicated Storage)",Détail!$B$5:$B$30,0)),0)</f>
        <v>3</v>
      </c>
      <c r="I113" s="7" t="n">
        <f aca="false">IFERROR(INDEX(Détail!$K$5:$K$30,MATCH("Stockage dédié Tek (Tek Dedicated Storage)",Détail!$B$5:$B$30,0)),0)</f>
        <v>4</v>
      </c>
      <c r="J113" s="7" t="n">
        <f aca="false">IFERROR(INDEX(Détail!$L$5:$L$30,MATCH("Stockage dédié Tek (Tek Dedicated Storage)",Détail!$B$5:$B$30,0)),0)</f>
        <v>0</v>
      </c>
      <c r="K113" s="7" t="n">
        <f aca="false">IFERROR(INDEX(Détail!$M$5:$M$30,MATCH("Stockage dédié Tek (Tek Dedicated Storage)",Détail!$B$5:$B$30,0)),0)</f>
        <v>0</v>
      </c>
      <c r="L113" s="7" t="n">
        <f aca="false">IFERROR(INDEX(Détail!$N$5:$N$30,MATCH("Stockage dédié Tek (Tek Dedicated Storage)",Détail!$B$5:$B$30,0)),0)</f>
        <v>0</v>
      </c>
      <c r="M113" s="7" t="n">
        <f aca="false">IFERROR(INDEX(Détail!$O$5:$O$30,MATCH("Stockage dédié Tek (Tek Dedicated Storage)",Détail!$B$5:$B$30,0)),0)</f>
        <v>0</v>
      </c>
      <c r="N113" s="7" t="n">
        <f aca="false">IFERROR(INDEX(Détail!$P$5:$P$30,MATCH("Stockage dédié Tek (Tek Dedicated Storage)",Détail!$B$5:$B$30,0)),0)</f>
        <v>0</v>
      </c>
      <c r="O113" s="7" t="n">
        <f aca="false">IFERROR(INDEX(Détail!$Q$5:$Q$30,MATCH("Stockage dédié Tek (Tek Dedicated Storage)",Détail!$B$5:$B$30,0)),0)</f>
        <v>0</v>
      </c>
      <c r="P113" s="7" t="n">
        <f aca="false">IFERROR(INDEX(Détail!$R$5:$R$30,MATCH("Stockage dédié Tek (Tek Dedicated Storage)",Détail!$B$5:$B$30,0)),0)</f>
        <v>0</v>
      </c>
      <c r="Q113" s="14" t="n">
        <f aca="false">$B113*C113</f>
        <v>2500</v>
      </c>
      <c r="R113" s="14" t="n">
        <f aca="false">$B113*D113</f>
        <v>0</v>
      </c>
      <c r="S113" s="14" t="n">
        <f aca="false">$B113*E113</f>
        <v>0</v>
      </c>
      <c r="T113" s="14" t="n">
        <f aca="false">$B113*F113</f>
        <v>1100</v>
      </c>
      <c r="U113" s="14" t="n">
        <f aca="false">$B113*G113</f>
        <v>1500</v>
      </c>
      <c r="V113" s="14" t="n">
        <f aca="false">$B113*H113</f>
        <v>60</v>
      </c>
      <c r="W113" s="14" t="n">
        <f aca="false">$B113*I113</f>
        <v>80</v>
      </c>
      <c r="X113" s="14" t="n">
        <f aca="false">$B113*J113</f>
        <v>0</v>
      </c>
      <c r="Y113" s="14" t="n">
        <f aca="false">$B113*K113</f>
        <v>0</v>
      </c>
      <c r="Z113" s="14" t="n">
        <f aca="false">$B113*L113</f>
        <v>0</v>
      </c>
      <c r="AA113" s="14" t="n">
        <f aca="false">$B113*M113</f>
        <v>0</v>
      </c>
      <c r="AB113" s="14" t="n">
        <f aca="false">$B113*N113</f>
        <v>0</v>
      </c>
      <c r="AC113" s="14" t="n">
        <f aca="false">$B113*O113</f>
        <v>0</v>
      </c>
      <c r="AD113" s="14" t="n">
        <f aca="false">$B113*P113</f>
        <v>0</v>
      </c>
    </row>
    <row r="114" customFormat="false" ht="15" hidden="false" customHeight="false" outlineLevel="0" collapsed="false">
      <c r="A114" s="6" t="s">
        <v>140</v>
      </c>
      <c r="B114" s="16" t="n">
        <v>20</v>
      </c>
      <c r="C114" s="7" t="n">
        <f aca="false">IFERROR(INDEX(Détail!$E$5:$E$30,MATCH("Coffre-fort (Vault)",Détail!$B$5:$B$30,0)),0)</f>
        <v>500</v>
      </c>
      <c r="D114" s="7" t="n">
        <f aca="false">IFERROR(INDEX(Détail!$F$5:$F$30,MATCH("Coffre-fort (Vault)",Détail!$B$5:$B$30,0)),0)</f>
        <v>100</v>
      </c>
      <c r="E114" s="7" t="n">
        <f aca="false">IFERROR(INDEX(Détail!$G$5:$G$30,MATCH("Coffre-fort (Vault)",Détail!$B$5:$B$30,0)),0)</f>
        <v>0</v>
      </c>
      <c r="F114" s="7" t="n">
        <f aca="false">IFERROR(INDEX(Détail!$H$5:$H$30,MATCH("Coffre-fort (Vault)",Détail!$B$5:$B$30,0)),0)</f>
        <v>90</v>
      </c>
      <c r="G114" s="7" t="n">
        <f aca="false">IFERROR(INDEX(Détail!$I$5:$I$30,MATCH("Coffre-fort (Vault)",Détail!$B$5:$B$30,0)),0)</f>
        <v>0</v>
      </c>
      <c r="H114" s="7" t="n">
        <f aca="false">IFERROR(INDEX(Détail!$J$5:$J$30,MATCH("Coffre-fort (Vault)",Détail!$B$5:$B$30,0)),0)</f>
        <v>0</v>
      </c>
      <c r="I114" s="7" t="n">
        <f aca="false">IFERROR(INDEX(Détail!$K$5:$K$30,MATCH("Coffre-fort (Vault)",Détail!$B$5:$B$30,0)),0)</f>
        <v>0</v>
      </c>
      <c r="J114" s="7" t="n">
        <f aca="false">IFERROR(INDEX(Détail!$L$5:$L$30,MATCH("Coffre-fort (Vault)",Détail!$B$5:$B$30,0)),0)</f>
        <v>70</v>
      </c>
      <c r="K114" s="7" t="n">
        <f aca="false">IFERROR(INDEX(Détail!$M$5:$M$30,MATCH("Coffre-fort (Vault)",Détail!$B$5:$B$30,0)),0)</f>
        <v>0</v>
      </c>
      <c r="L114" s="7" t="n">
        <f aca="false">IFERROR(INDEX(Détail!$N$5:$N$30,MATCH("Coffre-fort (Vault)",Détail!$B$5:$B$30,0)),0)</f>
        <v>0</v>
      </c>
      <c r="M114" s="7" t="n">
        <f aca="false">IFERROR(INDEX(Détail!$O$5:$O$30,MATCH("Coffre-fort (Vault)",Détail!$B$5:$B$30,0)),0)</f>
        <v>0</v>
      </c>
      <c r="N114" s="7" t="n">
        <f aca="false">IFERROR(INDEX(Détail!$P$5:$P$30,MATCH("Coffre-fort (Vault)",Détail!$B$5:$B$30,0)),0)</f>
        <v>0</v>
      </c>
      <c r="O114" s="7" t="n">
        <f aca="false">IFERROR(INDEX(Détail!$Q$5:$Q$30,MATCH("Coffre-fort (Vault)",Détail!$B$5:$B$30,0)),0)</f>
        <v>0</v>
      </c>
      <c r="P114" s="7" t="n">
        <f aca="false">IFERROR(INDEX(Détail!$R$5:$R$30,MATCH("Coffre-fort (Vault)",Détail!$B$5:$B$30,0)),0)</f>
        <v>0</v>
      </c>
      <c r="Q114" s="14" t="n">
        <f aca="false">$B114*C114</f>
        <v>10000</v>
      </c>
      <c r="R114" s="14" t="n">
        <f aca="false">$B114*D114</f>
        <v>2000</v>
      </c>
      <c r="S114" s="14" t="n">
        <f aca="false">$B114*E114</f>
        <v>0</v>
      </c>
      <c r="T114" s="14" t="n">
        <f aca="false">$B114*F114</f>
        <v>1800</v>
      </c>
      <c r="U114" s="14" t="n">
        <f aca="false">$B114*G114</f>
        <v>0</v>
      </c>
      <c r="V114" s="14" t="n">
        <f aca="false">$B114*H114</f>
        <v>0</v>
      </c>
      <c r="W114" s="14" t="n">
        <f aca="false">$B114*I114</f>
        <v>0</v>
      </c>
      <c r="X114" s="14" t="n">
        <f aca="false">$B114*J114</f>
        <v>1400</v>
      </c>
      <c r="Y114" s="14" t="n">
        <f aca="false">$B114*K114</f>
        <v>0</v>
      </c>
      <c r="Z114" s="14" t="n">
        <f aca="false">$B114*L114</f>
        <v>0</v>
      </c>
      <c r="AA114" s="14" t="n">
        <f aca="false">$B114*M114</f>
        <v>0</v>
      </c>
      <c r="AB114" s="14" t="n">
        <f aca="false">$B114*N114</f>
        <v>0</v>
      </c>
      <c r="AC114" s="14" t="n">
        <f aca="false">$B114*O114</f>
        <v>0</v>
      </c>
      <c r="AD114" s="14" t="n">
        <f aca="false">$B114*P114</f>
        <v>0</v>
      </c>
    </row>
    <row r="115" customFormat="false" ht="15" hidden="false" customHeight="false" outlineLevel="0" collapsed="false">
      <c r="A115" s="6" t="s">
        <v>141</v>
      </c>
      <c r="B115" s="16" t="n">
        <v>8</v>
      </c>
      <c r="C115" s="7" t="n">
        <f aca="false">IFERROR(INDEX(Détail!$E$5:$E$30,MATCH("Demi-pilier métal (ancre)",Détail!$B$5:$B$30,0)),0)</f>
        <v>13</v>
      </c>
      <c r="D115" s="7" t="n">
        <f aca="false">IFERROR(INDEX(Détail!$F$5:$F$30,MATCH("Demi-pilier métal (ancre)",Détail!$B$5:$B$30,0)),0)</f>
        <v>4</v>
      </c>
      <c r="E115" s="7" t="n">
        <f aca="false">IFERROR(INDEX(Détail!$G$5:$G$30,MATCH("Demi-pilier métal (ancre)",Détail!$B$5:$B$30,0)),0)</f>
        <v>0</v>
      </c>
      <c r="F115" s="7" t="n">
        <f aca="false">IFERROR(INDEX(Détail!$H$5:$H$30,MATCH("Demi-pilier métal (ancre)",Détail!$B$5:$B$30,0)),0)</f>
        <v>0</v>
      </c>
      <c r="G115" s="7" t="n">
        <f aca="false">IFERROR(INDEX(Détail!$I$5:$I$30,MATCH("Demi-pilier métal (ancre)",Détail!$B$5:$B$30,0)),0)</f>
        <v>0</v>
      </c>
      <c r="H115" s="7" t="n">
        <f aca="false">IFERROR(INDEX(Détail!$J$5:$J$30,MATCH("Demi-pilier métal (ancre)",Détail!$B$5:$B$30,0)),0)</f>
        <v>0</v>
      </c>
      <c r="I115" s="7" t="n">
        <f aca="false">IFERROR(INDEX(Détail!$K$5:$K$30,MATCH("Demi-pilier métal (ancre)",Détail!$B$5:$B$30,0)),0)</f>
        <v>0</v>
      </c>
      <c r="J115" s="7" t="n">
        <f aca="false">IFERROR(INDEX(Détail!$L$5:$L$30,MATCH("Demi-pilier métal (ancre)",Détail!$B$5:$B$30,0)),0)</f>
        <v>0</v>
      </c>
      <c r="K115" s="7" t="n">
        <f aca="false">IFERROR(INDEX(Détail!$M$5:$M$30,MATCH("Demi-pilier métal (ancre)",Détail!$B$5:$B$30,0)),0)</f>
        <v>0</v>
      </c>
      <c r="L115" s="7" t="n">
        <f aca="false">IFERROR(INDEX(Détail!$N$5:$N$30,MATCH("Demi-pilier métal (ancre)",Détail!$B$5:$B$30,0)),0)</f>
        <v>0</v>
      </c>
      <c r="M115" s="7" t="n">
        <f aca="false">IFERROR(INDEX(Détail!$O$5:$O$30,MATCH("Demi-pilier métal (ancre)",Détail!$B$5:$B$30,0)),0)</f>
        <v>0</v>
      </c>
      <c r="N115" s="7" t="n">
        <f aca="false">IFERROR(INDEX(Détail!$P$5:$P$30,MATCH("Demi-pilier métal (ancre)",Détail!$B$5:$B$30,0)),0)</f>
        <v>0</v>
      </c>
      <c r="O115" s="7" t="n">
        <f aca="false">IFERROR(INDEX(Détail!$Q$5:$Q$30,MATCH("Demi-pilier métal (ancre)",Détail!$B$5:$B$30,0)),0)</f>
        <v>0</v>
      </c>
      <c r="P115" s="7" t="n">
        <f aca="false">IFERROR(INDEX(Détail!$R$5:$R$30,MATCH("Demi-pilier métal (ancre)",Détail!$B$5:$B$30,0)),0)</f>
        <v>0</v>
      </c>
      <c r="Q115" s="14" t="n">
        <f aca="false">$B115*C115</f>
        <v>104</v>
      </c>
      <c r="R115" s="14" t="n">
        <f aca="false">$B115*D115</f>
        <v>32</v>
      </c>
      <c r="S115" s="14" t="n">
        <f aca="false">$B115*E115</f>
        <v>0</v>
      </c>
      <c r="T115" s="14" t="n">
        <f aca="false">$B115*F115</f>
        <v>0</v>
      </c>
      <c r="U115" s="14" t="n">
        <f aca="false">$B115*G115</f>
        <v>0</v>
      </c>
      <c r="V115" s="14" t="n">
        <f aca="false">$B115*H115</f>
        <v>0</v>
      </c>
      <c r="W115" s="14" t="n">
        <f aca="false">$B115*I115</f>
        <v>0</v>
      </c>
      <c r="X115" s="14" t="n">
        <f aca="false">$B115*J115</f>
        <v>0</v>
      </c>
      <c r="Y115" s="14" t="n">
        <f aca="false">$B115*K115</f>
        <v>0</v>
      </c>
      <c r="Z115" s="14" t="n">
        <f aca="false">$B115*L115</f>
        <v>0</v>
      </c>
      <c r="AA115" s="14" t="n">
        <f aca="false">$B115*M115</f>
        <v>0</v>
      </c>
      <c r="AB115" s="14" t="n">
        <f aca="false">$B115*N115</f>
        <v>0</v>
      </c>
      <c r="AC115" s="14" t="n">
        <f aca="false">$B115*O115</f>
        <v>0</v>
      </c>
      <c r="AD115" s="14" t="n">
        <f aca="false">$B115*P115</f>
        <v>0</v>
      </c>
    </row>
    <row r="116" customFormat="false" ht="15" hidden="false" customHeight="false" outlineLevel="0" collapsed="false">
      <c r="A116" s="6" t="s">
        <v>142</v>
      </c>
      <c r="B116" s="16" t="n">
        <v>2</v>
      </c>
      <c r="C116" s="7" t="n">
        <f aca="false">IFERROR(INDEX(Détail!$E$5:$E$30,MATCH("Générateur Tek",Détail!$B$5:$B$30,0)),0)</f>
        <v>2400</v>
      </c>
      <c r="D116" s="7" t="n">
        <f aca="false">IFERROR(INDEX(Détail!$F$5:$F$30,MATCH("Générateur Tek",Détail!$B$5:$B$30,0)),0)</f>
        <v>0</v>
      </c>
      <c r="E116" s="7" t="n">
        <f aca="false">IFERROR(INDEX(Détail!$G$5:$G$30,MATCH("Générateur Tek",Détail!$B$5:$B$30,0)),0)</f>
        <v>0</v>
      </c>
      <c r="F116" s="7" t="n">
        <f aca="false">IFERROR(INDEX(Détail!$H$5:$H$30,MATCH("Générateur Tek",Détail!$B$5:$B$30,0)),0)</f>
        <v>500</v>
      </c>
      <c r="G116" s="7" t="n">
        <f aca="false">IFERROR(INDEX(Détail!$I$5:$I$30,MATCH("Générateur Tek",Détail!$B$5:$B$30,0)),0)</f>
        <v>250</v>
      </c>
      <c r="H116" s="7" t="n">
        <f aca="false">IFERROR(INDEX(Détail!$J$5:$J$30,MATCH("Générateur Tek",Détail!$B$5:$B$30,0)),0)</f>
        <v>30</v>
      </c>
      <c r="I116" s="7" t="n">
        <f aca="false">IFERROR(INDEX(Détail!$K$5:$K$30,MATCH("Générateur Tek",Détail!$B$5:$B$30,0)),0)</f>
        <v>120</v>
      </c>
      <c r="J116" s="7" t="n">
        <f aca="false">IFERROR(INDEX(Détail!$L$5:$L$30,MATCH("Générateur Tek",Détail!$B$5:$B$30,0)),0)</f>
        <v>0</v>
      </c>
      <c r="K116" s="7" t="n">
        <f aca="false">IFERROR(INDEX(Détail!$M$5:$M$30,MATCH("Générateur Tek",Détail!$B$5:$B$30,0)),0)</f>
        <v>0</v>
      </c>
      <c r="L116" s="7" t="n">
        <f aca="false">IFERROR(INDEX(Détail!$N$5:$N$30,MATCH("Générateur Tek",Détail!$B$5:$B$30,0)),0)</f>
        <v>0</v>
      </c>
      <c r="M116" s="7" t="n">
        <f aca="false">IFERROR(INDEX(Détail!$O$5:$O$30,MATCH("Générateur Tek",Détail!$B$5:$B$30,0)),0)</f>
        <v>0</v>
      </c>
      <c r="N116" s="7" t="n">
        <f aca="false">IFERROR(INDEX(Détail!$P$5:$P$30,MATCH("Générateur Tek",Détail!$B$5:$B$30,0)),0)</f>
        <v>0</v>
      </c>
      <c r="O116" s="7" t="n">
        <f aca="false">IFERROR(INDEX(Détail!$Q$5:$Q$30,MATCH("Générateur Tek",Détail!$B$5:$B$30,0)),0)</f>
        <v>0</v>
      </c>
      <c r="P116" s="7" t="n">
        <f aca="false">IFERROR(INDEX(Détail!$R$5:$R$30,MATCH("Générateur Tek",Détail!$B$5:$B$30,0)),0)</f>
        <v>0</v>
      </c>
      <c r="Q116" s="14" t="n">
        <f aca="false">$B116*C116</f>
        <v>4800</v>
      </c>
      <c r="R116" s="14" t="n">
        <f aca="false">$B116*D116</f>
        <v>0</v>
      </c>
      <c r="S116" s="14" t="n">
        <f aca="false">$B116*E116</f>
        <v>0</v>
      </c>
      <c r="T116" s="14" t="n">
        <f aca="false">$B116*F116</f>
        <v>1000</v>
      </c>
      <c r="U116" s="14" t="n">
        <f aca="false">$B116*G116</f>
        <v>500</v>
      </c>
      <c r="V116" s="14" t="n">
        <f aca="false">$B116*H116</f>
        <v>60</v>
      </c>
      <c r="W116" s="14" t="n">
        <f aca="false">$B116*I116</f>
        <v>240</v>
      </c>
      <c r="X116" s="14" t="n">
        <f aca="false">$B116*J116</f>
        <v>0</v>
      </c>
      <c r="Y116" s="14" t="n">
        <f aca="false">$B116*K116</f>
        <v>0</v>
      </c>
      <c r="Z116" s="14" t="n">
        <f aca="false">$B116*L116</f>
        <v>0</v>
      </c>
      <c r="AA116" s="14" t="n">
        <f aca="false">$B116*M116</f>
        <v>0</v>
      </c>
      <c r="AB116" s="14" t="n">
        <f aca="false">$B116*N116</f>
        <v>0</v>
      </c>
      <c r="AC116" s="14" t="n">
        <f aca="false">$B116*O116</f>
        <v>0</v>
      </c>
      <c r="AD116" s="14" t="n">
        <f aca="false">$B116*P116</f>
        <v>0</v>
      </c>
    </row>
    <row r="117" customFormat="false" ht="15" hidden="false" customHeight="false" outlineLevel="0" collapsed="false">
      <c r="A117" s="6" t="s">
        <v>143</v>
      </c>
      <c r="B117" s="16" t="n">
        <v>2</v>
      </c>
      <c r="C117" s="7" t="n">
        <f aca="false">IFERROR(INDEX(Détail!$E$5:$E$30,MATCH("Boîte de munitions (Ammo Box)",Détail!$B$5:$B$30,0)),0)</f>
        <v>0</v>
      </c>
      <c r="D117" s="7" t="n">
        <f aca="false">IFERROR(INDEX(Détail!$F$5:$F$30,MATCH("Boîte de munitions (Ammo Box)",Détail!$B$5:$B$30,0)),0)</f>
        <v>0</v>
      </c>
      <c r="E117" s="7" t="n">
        <f aca="false">IFERROR(INDEX(Détail!$G$5:$G$30,MATCH("Boîte de munitions (Ammo Box)",Détail!$B$5:$B$30,0)),0)</f>
        <v>0</v>
      </c>
      <c r="F117" s="7" t="n">
        <f aca="false">IFERROR(INDEX(Détail!$H$5:$H$30,MATCH("Boîte de munitions (Ammo Box)",Détail!$B$5:$B$30,0)),0)</f>
        <v>0</v>
      </c>
      <c r="G117" s="7" t="n">
        <f aca="false">IFERROR(INDEX(Détail!$I$5:$I$30,MATCH("Boîte de munitions (Ammo Box)",Détail!$B$5:$B$30,0)),0)</f>
        <v>0</v>
      </c>
      <c r="H117" s="7" t="n">
        <f aca="false">IFERROR(INDEX(Détail!$J$5:$J$30,MATCH("Boîte de munitions (Ammo Box)",Détail!$B$5:$B$30,0)),0)</f>
        <v>0</v>
      </c>
      <c r="I117" s="7" t="n">
        <f aca="false">IFERROR(INDEX(Détail!$K$5:$K$30,MATCH("Boîte de munitions (Ammo Box)",Détail!$B$5:$B$30,0)),0)</f>
        <v>0</v>
      </c>
      <c r="J117" s="7" t="n">
        <f aca="false">IFERROR(INDEX(Détail!$L$5:$L$30,MATCH("Boîte de munitions (Ammo Box)",Détail!$B$5:$B$30,0)),0)</f>
        <v>0</v>
      </c>
      <c r="K117" s="7" t="n">
        <f aca="false">IFERROR(INDEX(Détail!$M$5:$M$30,MATCH("Boîte de munitions (Ammo Box)",Détail!$B$5:$B$30,0)),0)</f>
        <v>0</v>
      </c>
      <c r="L117" s="7" t="n">
        <f aca="false">IFERROR(INDEX(Détail!$N$5:$N$30,MATCH("Boîte de munitions (Ammo Box)",Détail!$B$5:$B$30,0)),0)</f>
        <v>0</v>
      </c>
      <c r="M117" s="7" t="n">
        <f aca="false">IFERROR(INDEX(Détail!$O$5:$O$30,MATCH("Boîte de munitions (Ammo Box)",Détail!$B$5:$B$30,0)),0)</f>
        <v>0</v>
      </c>
      <c r="N117" s="7" t="n">
        <f aca="false">IFERROR(INDEX(Détail!$P$5:$P$30,MATCH("Boîte de munitions (Ammo Box)",Détail!$B$5:$B$30,0)),0)</f>
        <v>0</v>
      </c>
      <c r="O117" s="7" t="n">
        <f aca="false">IFERROR(INDEX(Détail!$Q$5:$Q$30,MATCH("Boîte de munitions (Ammo Box)",Détail!$B$5:$B$30,0)),0)</f>
        <v>0</v>
      </c>
      <c r="P117" s="7" t="n">
        <f aca="false">IFERROR(INDEX(Détail!$R$5:$R$30,MATCH("Boîte de munitions (Ammo Box)",Détail!$B$5:$B$30,0)),0)</f>
        <v>0</v>
      </c>
      <c r="Q117" s="14" t="n">
        <f aca="false">$B117*C117</f>
        <v>0</v>
      </c>
      <c r="R117" s="14" t="n">
        <f aca="false">$B117*D117</f>
        <v>0</v>
      </c>
      <c r="S117" s="14" t="n">
        <f aca="false">$B117*E117</f>
        <v>0</v>
      </c>
      <c r="T117" s="14" t="n">
        <f aca="false">$B117*F117</f>
        <v>0</v>
      </c>
      <c r="U117" s="14" t="n">
        <f aca="false">$B117*G117</f>
        <v>0</v>
      </c>
      <c r="V117" s="14" t="n">
        <f aca="false">$B117*H117</f>
        <v>0</v>
      </c>
      <c r="W117" s="14" t="n">
        <f aca="false">$B117*I117</f>
        <v>0</v>
      </c>
      <c r="X117" s="14" t="n">
        <f aca="false">$B117*J117</f>
        <v>0</v>
      </c>
      <c r="Y117" s="14" t="n">
        <f aca="false">$B117*K117</f>
        <v>0</v>
      </c>
      <c r="Z117" s="14" t="n">
        <f aca="false">$B117*L117</f>
        <v>0</v>
      </c>
      <c r="AA117" s="14" t="n">
        <f aca="false">$B117*M117</f>
        <v>0</v>
      </c>
      <c r="AB117" s="14" t="n">
        <f aca="false">$B117*N117</f>
        <v>0</v>
      </c>
      <c r="AC117" s="14" t="n">
        <f aca="false">$B117*O117</f>
        <v>0</v>
      </c>
      <c r="AD117" s="14" t="n">
        <f aca="false">$B117*P117</f>
        <v>0</v>
      </c>
    </row>
    <row r="118" customFormat="false" ht="15" hidden="false" customHeight="false" outlineLevel="0" collapsed="false">
      <c r="A118" s="6" t="s">
        <v>144</v>
      </c>
      <c r="B118" s="16" t="n">
        <v>1</v>
      </c>
      <c r="C118" s="7" t="n">
        <f aca="false">IFERROR(INDEX(Détail!$E$5:$E$30,MATCH("Réplicateur Tek",Détail!$B$5:$B$30,0)),0)</f>
        <v>5000</v>
      </c>
      <c r="D118" s="7" t="n">
        <f aca="false">IFERROR(INDEX(Détail!$F$5:$F$30,MATCH("Réplicateur Tek",Détail!$B$5:$B$30,0)),0)</f>
        <v>0</v>
      </c>
      <c r="E118" s="7" t="n">
        <f aca="false">IFERROR(INDEX(Détail!$G$5:$G$30,MATCH("Réplicateur Tek",Détail!$B$5:$B$30,0)),0)</f>
        <v>0</v>
      </c>
      <c r="F118" s="7" t="n">
        <f aca="false">IFERROR(INDEX(Détail!$H$5:$H$30,MATCH("Réplicateur Tek",Détail!$B$5:$B$30,0)),0)</f>
        <v>800</v>
      </c>
      <c r="G118" s="7" t="n">
        <f aca="false">IFERROR(INDEX(Détail!$I$5:$I$30,MATCH("Réplicateur Tek",Détail!$B$5:$B$30,0)),0)</f>
        <v>600</v>
      </c>
      <c r="H118" s="7" t="n">
        <f aca="false">IFERROR(INDEX(Détail!$J$5:$J$30,MATCH("Réplicateur Tek",Détail!$B$5:$B$30,0)),0)</f>
        <v>100</v>
      </c>
      <c r="I118" s="7" t="n">
        <f aca="false">IFERROR(INDEX(Détail!$K$5:$K$30,MATCH("Réplicateur Tek",Détail!$B$5:$B$30,0)),0)</f>
        <v>150</v>
      </c>
      <c r="J118" s="7" t="n">
        <f aca="false">IFERROR(INDEX(Détail!$L$5:$L$30,MATCH("Réplicateur Tek",Détail!$B$5:$B$30,0)),0)</f>
        <v>0</v>
      </c>
      <c r="K118" s="7" t="n">
        <f aca="false">IFERROR(INDEX(Détail!$M$5:$M$30,MATCH("Réplicateur Tek",Détail!$B$5:$B$30,0)),0)</f>
        <v>0</v>
      </c>
      <c r="L118" s="7" t="n">
        <f aca="false">IFERROR(INDEX(Détail!$N$5:$N$30,MATCH("Réplicateur Tek",Détail!$B$5:$B$30,0)),0)</f>
        <v>0</v>
      </c>
      <c r="M118" s="7" t="n">
        <f aca="false">IFERROR(INDEX(Détail!$O$5:$O$30,MATCH("Réplicateur Tek",Détail!$B$5:$B$30,0)),0)</f>
        <v>0</v>
      </c>
      <c r="N118" s="7" t="n">
        <f aca="false">IFERROR(INDEX(Détail!$P$5:$P$30,MATCH("Réplicateur Tek",Détail!$B$5:$B$30,0)),0)</f>
        <v>0</v>
      </c>
      <c r="O118" s="7" t="n">
        <f aca="false">IFERROR(INDEX(Détail!$Q$5:$Q$30,MATCH("Réplicateur Tek",Détail!$B$5:$B$30,0)),0)</f>
        <v>0</v>
      </c>
      <c r="P118" s="7" t="n">
        <f aca="false">IFERROR(INDEX(Détail!$R$5:$R$30,MATCH("Réplicateur Tek",Détail!$B$5:$B$30,0)),0)</f>
        <v>0</v>
      </c>
      <c r="Q118" s="14" t="n">
        <f aca="false">$B118*C118</f>
        <v>5000</v>
      </c>
      <c r="R118" s="14" t="n">
        <f aca="false">$B118*D118</f>
        <v>0</v>
      </c>
      <c r="S118" s="14" t="n">
        <f aca="false">$B118*E118</f>
        <v>0</v>
      </c>
      <c r="T118" s="14" t="n">
        <f aca="false">$B118*F118</f>
        <v>800</v>
      </c>
      <c r="U118" s="14" t="n">
        <f aca="false">$B118*G118</f>
        <v>600</v>
      </c>
      <c r="V118" s="14" t="n">
        <f aca="false">$B118*H118</f>
        <v>100</v>
      </c>
      <c r="W118" s="14" t="n">
        <f aca="false">$B118*I118</f>
        <v>150</v>
      </c>
      <c r="X118" s="14" t="n">
        <f aca="false">$B118*J118</f>
        <v>0</v>
      </c>
      <c r="Y118" s="14" t="n">
        <f aca="false">$B118*K118</f>
        <v>0</v>
      </c>
      <c r="Z118" s="14" t="n">
        <f aca="false">$B118*L118</f>
        <v>0</v>
      </c>
      <c r="AA118" s="14" t="n">
        <f aca="false">$B118*M118</f>
        <v>0</v>
      </c>
      <c r="AB118" s="14" t="n">
        <f aca="false">$B118*N118</f>
        <v>0</v>
      </c>
      <c r="AC118" s="14" t="n">
        <f aca="false">$B118*O118</f>
        <v>0</v>
      </c>
      <c r="AD118" s="14" t="n">
        <f aca="false">$B118*P118</f>
        <v>0</v>
      </c>
    </row>
    <row r="119" customFormat="false" ht="15" hidden="false" customHeight="false" outlineLevel="0" collapsed="false">
      <c r="A119" s="6" t="s">
        <v>145</v>
      </c>
      <c r="B119" s="16" t="n">
        <v>1</v>
      </c>
      <c r="C119" s="7" t="n">
        <f aca="false">IFERROR(INDEX(Détail!$E$5:$E$30,MATCH("Forge à vapeur (Steam Forge)",Détail!$B$5:$B$30,0)),0)</f>
        <v>3250</v>
      </c>
      <c r="D119" s="7" t="n">
        <f aca="false">IFERROR(INDEX(Détail!$F$5:$F$30,MATCH("Forge à vapeur (Steam Forge)",Détail!$B$5:$B$30,0)),0)</f>
        <v>600</v>
      </c>
      <c r="E119" s="7" t="n">
        <f aca="false">IFERROR(INDEX(Détail!$G$5:$G$30,MATCH("Forge à vapeur (Steam Forge)",Détail!$B$5:$B$30,0)),0)</f>
        <v>200</v>
      </c>
      <c r="F119" s="7" t="n">
        <f aca="false">IFERROR(INDEX(Détail!$H$5:$H$30,MATCH("Forge à vapeur (Steam Forge)",Détail!$B$5:$B$30,0)),0)</f>
        <v>1000</v>
      </c>
      <c r="G119" s="7" t="n">
        <f aca="false">IFERROR(INDEX(Détail!$I$5:$I$30,MATCH("Forge à vapeur (Steam Forge)",Détail!$B$5:$B$30,0)),0)</f>
        <v>500</v>
      </c>
      <c r="H119" s="7" t="n">
        <f aca="false">IFERROR(INDEX(Détail!$J$5:$J$30,MATCH("Forge à vapeur (Steam Forge)",Détail!$B$5:$B$30,0)),0)</f>
        <v>0</v>
      </c>
      <c r="I119" s="7" t="n">
        <f aca="false">IFERROR(INDEX(Détail!$K$5:$K$30,MATCH("Forge à vapeur (Steam Forge)",Détail!$B$5:$B$30,0)),0)</f>
        <v>0</v>
      </c>
      <c r="J119" s="7" t="n">
        <f aca="false">IFERROR(INDEX(Détail!$L$5:$L$30,MATCH("Forge à vapeur (Steam Forge)",Détail!$B$5:$B$30,0)),0)</f>
        <v>0</v>
      </c>
      <c r="K119" s="7" t="n">
        <f aca="false">IFERROR(INDEX(Détail!$M$5:$M$30,MATCH("Forge à vapeur (Steam Forge)",Détail!$B$5:$B$30,0)),0)</f>
        <v>0</v>
      </c>
      <c r="L119" s="7" t="n">
        <f aca="false">IFERROR(INDEX(Détail!$N$5:$N$30,MATCH("Forge à vapeur (Steam Forge)",Détail!$B$5:$B$30,0)),0)</f>
        <v>0</v>
      </c>
      <c r="M119" s="7" t="n">
        <f aca="false">IFERROR(INDEX(Détail!$O$5:$O$30,MATCH("Forge à vapeur (Steam Forge)",Détail!$B$5:$B$30,0)),0)</f>
        <v>0</v>
      </c>
      <c r="N119" s="7" t="n">
        <f aca="false">IFERROR(INDEX(Détail!$P$5:$P$30,MATCH("Forge à vapeur (Steam Forge)",Détail!$B$5:$B$30,0)),0)</f>
        <v>0</v>
      </c>
      <c r="O119" s="7" t="n">
        <f aca="false">IFERROR(INDEX(Détail!$Q$5:$Q$30,MATCH("Forge à vapeur (Steam Forge)",Détail!$B$5:$B$30,0)),0)</f>
        <v>0</v>
      </c>
      <c r="P119" s="7" t="n">
        <f aca="false">IFERROR(INDEX(Détail!$R$5:$R$30,MATCH("Forge à vapeur (Steam Forge)",Détail!$B$5:$B$30,0)),0)</f>
        <v>0</v>
      </c>
      <c r="Q119" s="14" t="n">
        <f aca="false">$B119*C119</f>
        <v>3250</v>
      </c>
      <c r="R119" s="14" t="n">
        <f aca="false">$B119*D119</f>
        <v>600</v>
      </c>
      <c r="S119" s="14" t="n">
        <f aca="false">$B119*E119</f>
        <v>200</v>
      </c>
      <c r="T119" s="14" t="n">
        <f aca="false">$B119*F119</f>
        <v>1000</v>
      </c>
      <c r="U119" s="14" t="n">
        <f aca="false">$B119*G119</f>
        <v>500</v>
      </c>
      <c r="V119" s="14" t="n">
        <f aca="false">$B119*H119</f>
        <v>0</v>
      </c>
      <c r="W119" s="14" t="n">
        <f aca="false">$B119*I119</f>
        <v>0</v>
      </c>
      <c r="X119" s="14" t="n">
        <f aca="false">$B119*J119</f>
        <v>0</v>
      </c>
      <c r="Y119" s="14" t="n">
        <f aca="false">$B119*K119</f>
        <v>0</v>
      </c>
      <c r="Z119" s="14" t="n">
        <f aca="false">$B119*L119</f>
        <v>0</v>
      </c>
      <c r="AA119" s="14" t="n">
        <f aca="false">$B119*M119</f>
        <v>0</v>
      </c>
      <c r="AB119" s="14" t="n">
        <f aca="false">$B119*N119</f>
        <v>0</v>
      </c>
      <c r="AC119" s="14" t="n">
        <f aca="false">$B119*O119</f>
        <v>0</v>
      </c>
      <c r="AD119" s="14" t="n">
        <f aca="false">$B119*P119</f>
        <v>0</v>
      </c>
    </row>
    <row r="120" customFormat="false" ht="15" hidden="false" customHeight="false" outlineLevel="0" collapsed="false">
      <c r="A120" s="6" t="s">
        <v>146</v>
      </c>
      <c r="B120" s="16" t="n">
        <v>1</v>
      </c>
      <c r="C120" s="7" t="n">
        <f aca="false">IFERROR(INDEX(Détail!$E$5:$E$30,MATCH("Labo de fortune (Makeshift Megalab)",Détail!$B$5:$B$30,0)),0)</f>
        <v>450</v>
      </c>
      <c r="D120" s="7" t="n">
        <f aca="false">IFERROR(INDEX(Détail!$F$5:$F$30,MATCH("Labo de fortune (Makeshift Megalab)",Détail!$B$5:$B$30,0)),0)</f>
        <v>300</v>
      </c>
      <c r="E120" s="7" t="n">
        <f aca="false">IFERROR(INDEX(Détail!$G$5:$G$30,MATCH("Labo de fortune (Makeshift Megalab)",Détail!$B$5:$B$30,0)),0)</f>
        <v>20</v>
      </c>
      <c r="F120" s="7" t="n">
        <f aca="false">IFERROR(INDEX(Détail!$H$5:$H$30,MATCH("Labo de fortune (Makeshift Megalab)",Détail!$B$5:$B$30,0)),0)</f>
        <v>150</v>
      </c>
      <c r="G120" s="7" t="n">
        <f aca="false">IFERROR(INDEX(Détail!$I$5:$I$30,MATCH("Labo de fortune (Makeshift Megalab)",Détail!$B$5:$B$30,0)),0)</f>
        <v>250</v>
      </c>
      <c r="H120" s="7" t="n">
        <f aca="false">IFERROR(INDEX(Détail!$J$5:$J$30,MATCH("Labo de fortune (Makeshift Megalab)",Détail!$B$5:$B$30,0)),0)</f>
        <v>0</v>
      </c>
      <c r="I120" s="7" t="n">
        <f aca="false">IFERROR(INDEX(Détail!$K$5:$K$30,MATCH("Labo de fortune (Makeshift Megalab)",Détail!$B$5:$B$30,0)),0)</f>
        <v>0</v>
      </c>
      <c r="J120" s="7" t="n">
        <f aca="false">IFERROR(INDEX(Détail!$L$5:$L$30,MATCH("Labo de fortune (Makeshift Megalab)",Détail!$B$5:$B$30,0)),0)</f>
        <v>0</v>
      </c>
      <c r="K120" s="7" t="n">
        <f aca="false">IFERROR(INDEX(Détail!$M$5:$M$30,MATCH("Labo de fortune (Makeshift Megalab)",Détail!$B$5:$B$30,0)),0)</f>
        <v>100</v>
      </c>
      <c r="L120" s="7" t="n">
        <f aca="false">IFERROR(INDEX(Détail!$N$5:$N$30,MATCH("Labo de fortune (Makeshift Megalab)",Détail!$B$5:$B$30,0)),0)</f>
        <v>0</v>
      </c>
      <c r="M120" s="7" t="n">
        <f aca="false">IFERROR(INDEX(Détail!$O$5:$O$30,MATCH("Labo de fortune (Makeshift Megalab)",Détail!$B$5:$B$30,0)),0)</f>
        <v>0</v>
      </c>
      <c r="N120" s="7" t="n">
        <f aca="false">IFERROR(INDEX(Détail!$P$5:$P$30,MATCH("Labo de fortune (Makeshift Megalab)",Détail!$B$5:$B$30,0)),0)</f>
        <v>0</v>
      </c>
      <c r="O120" s="7" t="n">
        <f aca="false">IFERROR(INDEX(Détail!$Q$5:$Q$30,MATCH("Labo de fortune (Makeshift Megalab)",Détail!$B$5:$B$30,0)),0)</f>
        <v>0</v>
      </c>
      <c r="P120" s="7" t="n">
        <f aca="false">IFERROR(INDEX(Détail!$R$5:$R$30,MATCH("Labo de fortune (Makeshift Megalab)",Détail!$B$5:$B$30,0)),0)</f>
        <v>0</v>
      </c>
      <c r="Q120" s="14" t="n">
        <f aca="false">$B120*C120</f>
        <v>450</v>
      </c>
      <c r="R120" s="14" t="n">
        <f aca="false">$B120*D120</f>
        <v>300</v>
      </c>
      <c r="S120" s="14" t="n">
        <f aca="false">$B120*E120</f>
        <v>20</v>
      </c>
      <c r="T120" s="14" t="n">
        <f aca="false">$B120*F120</f>
        <v>150</v>
      </c>
      <c r="U120" s="14" t="n">
        <f aca="false">$B120*G120</f>
        <v>250</v>
      </c>
      <c r="V120" s="14" t="n">
        <f aca="false">$B120*H120</f>
        <v>0</v>
      </c>
      <c r="W120" s="14" t="n">
        <f aca="false">$B120*I120</f>
        <v>0</v>
      </c>
      <c r="X120" s="14" t="n">
        <f aca="false">$B120*J120</f>
        <v>0</v>
      </c>
      <c r="Y120" s="14" t="n">
        <f aca="false">$B120*K120</f>
        <v>100</v>
      </c>
      <c r="Z120" s="14" t="n">
        <f aca="false">$B120*L120</f>
        <v>0</v>
      </c>
      <c r="AA120" s="14" t="n">
        <f aca="false">$B120*M120</f>
        <v>0</v>
      </c>
      <c r="AB120" s="14" t="n">
        <f aca="false">$B120*N120</f>
        <v>0</v>
      </c>
      <c r="AC120" s="14" t="n">
        <f aca="false">$B120*O120</f>
        <v>0</v>
      </c>
      <c r="AD120" s="14" t="n">
        <f aca="false">$B120*P120</f>
        <v>0</v>
      </c>
    </row>
    <row r="121" customFormat="false" ht="15" hidden="false" customHeight="false" outlineLevel="0" collapsed="false">
      <c r="A121" s="8" t="s">
        <v>99</v>
      </c>
      <c r="B121" s="9" t="n">
        <f aca="false">SUM(B112:B120)</f>
        <v>129</v>
      </c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9" t="n">
        <f aca="false">SUM(Q112:Q120)</f>
        <v>27954</v>
      </c>
      <c r="R121" s="9" t="n">
        <f aca="false">SUM(R112:R120)</f>
        <v>2932</v>
      </c>
      <c r="S121" s="9" t="n">
        <f aca="false">SUM(S112:S120)</f>
        <v>220</v>
      </c>
      <c r="T121" s="9" t="n">
        <f aca="false">SUM(T112:T120)</f>
        <v>5850</v>
      </c>
      <c r="U121" s="9" t="n">
        <f aca="false">SUM(U112:U120)</f>
        <v>3350</v>
      </c>
      <c r="V121" s="9" t="n">
        <f aca="false">SUM(V112:V120)</f>
        <v>220</v>
      </c>
      <c r="W121" s="9" t="n">
        <f aca="false">SUM(W112:W120)</f>
        <v>470</v>
      </c>
      <c r="X121" s="9" t="n">
        <f aca="false">SUM(X112:X120)</f>
        <v>1400</v>
      </c>
      <c r="Y121" s="9" t="n">
        <f aca="false">SUM(Y112:Y120)</f>
        <v>100</v>
      </c>
      <c r="Z121" s="9" t="n">
        <f aca="false">SUM(Z112:Z120)</f>
        <v>1480</v>
      </c>
      <c r="AA121" s="9" t="n">
        <f aca="false">SUM(AA112:AA120)</f>
        <v>2220</v>
      </c>
      <c r="AB121" s="9" t="n">
        <f aca="false">SUM(AB112:AB120)</f>
        <v>0</v>
      </c>
      <c r="AC121" s="9" t="n">
        <f aca="false">SUM(AC112:AC120)</f>
        <v>0</v>
      </c>
      <c r="AD121" s="9" t="n">
        <f aca="false">SUM(AD112:AD120)</f>
        <v>0</v>
      </c>
    </row>
    <row r="122" customFormat="false" ht="15" hidden="false" customHeight="false" outlineLevel="0" collapsed="false">
      <c r="A122" s="8" t="s">
        <v>36</v>
      </c>
      <c r="B122" s="9" t="n">
        <f aca="false">SUM(B112:B120)-SUMIF(A112:A120,"* (inventaire)",B112:B120)</f>
        <v>129</v>
      </c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9" t="n">
        <f aca="false">SUM(Q112:Q120)-SUMIF(A112:A120,"* (inventaire)",Q112:Q120)</f>
        <v>27954</v>
      </c>
      <c r="R122" s="9" t="n">
        <f aca="false">SUM(R112:R120)-SUMIF(A112:A120,"* (inventaire)",R112:R120)</f>
        <v>2932</v>
      </c>
      <c r="S122" s="9" t="n">
        <f aca="false">SUM(S112:S120)-SUMIF(A112:A120,"* (inventaire)",S112:S120)</f>
        <v>220</v>
      </c>
      <c r="T122" s="9" t="n">
        <f aca="false">SUM(T112:T120)-SUMIF(A112:A120,"* (inventaire)",T112:T120)</f>
        <v>5850</v>
      </c>
      <c r="U122" s="9" t="n">
        <f aca="false">SUM(U112:U120)-SUMIF(A112:A120,"* (inventaire)",U112:U120)</f>
        <v>3350</v>
      </c>
      <c r="V122" s="9" t="n">
        <f aca="false">SUM(V112:V120)-SUMIF(A112:A120,"* (inventaire)",V112:V120)</f>
        <v>220</v>
      </c>
      <c r="W122" s="9" t="n">
        <f aca="false">SUM(W112:W120)-SUMIF(A112:A120,"* (inventaire)",W112:W120)</f>
        <v>470</v>
      </c>
      <c r="X122" s="9" t="n">
        <f aca="false">SUM(X112:X120)-SUMIF(A112:A120,"* (inventaire)",X112:X120)</f>
        <v>1400</v>
      </c>
      <c r="Y122" s="9" t="n">
        <f aca="false">SUM(Y112:Y120)-SUMIF(A112:A120,"* (inventaire)",Y112:Y120)</f>
        <v>100</v>
      </c>
      <c r="Z122" s="9" t="n">
        <f aca="false">SUM(Z112:Z120)-SUMIF(A112:A120,"* (inventaire)",Z112:Z120)</f>
        <v>1480</v>
      </c>
      <c r="AA122" s="9" t="n">
        <f aca="false">SUM(AA112:AA120)-SUMIF(A112:A120,"* (inventaire)",AA112:AA120)</f>
        <v>2220</v>
      </c>
      <c r="AB122" s="9" t="n">
        <f aca="false">SUM(AB112:AB120)-SUMIF(A112:A120,"* (inventaire)",AB112:AB120)</f>
        <v>0</v>
      </c>
      <c r="AC122" s="9" t="n">
        <f aca="false">SUM(AC112:AC120)-SUMIF(A112:A120,"* (inventaire)",AC112:AC120)</f>
        <v>0</v>
      </c>
      <c r="AD122" s="9" t="n">
        <f aca="false">SUM(AD112:AD120)-SUMIF(A112:A120,"* (inventaire)",AD112:AD120)</f>
        <v>0</v>
      </c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6.15" hidden="false" customHeight="false" outlineLevel="0" collapsed="false">
      <c r="A125" s="18" t="s">
        <v>147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42" hidden="false" customHeight="true" outlineLevel="0" collapsed="false">
      <c r="A126" s="11" t="s">
        <v>148</v>
      </c>
      <c r="B126" s="11" t="s">
        <v>149</v>
      </c>
      <c r="C126" s="11" t="s">
        <v>4</v>
      </c>
      <c r="D126" s="11" t="s">
        <v>150</v>
      </c>
      <c r="E126" s="11" t="s">
        <v>22</v>
      </c>
      <c r="F126" s="11" t="s">
        <v>23</v>
      </c>
      <c r="G126" s="11" t="s">
        <v>24</v>
      </c>
      <c r="H126" s="11" t="s">
        <v>25</v>
      </c>
      <c r="I126" s="11" t="s">
        <v>26</v>
      </c>
      <c r="J126" s="11" t="s">
        <v>27</v>
      </c>
      <c r="K126" s="11" t="s">
        <v>28</v>
      </c>
      <c r="L126" s="11" t="s">
        <v>29</v>
      </c>
      <c r="M126" s="11" t="s">
        <v>30</v>
      </c>
      <c r="N126" s="11" t="s">
        <v>31</v>
      </c>
      <c r="O126" s="11" t="s">
        <v>32</v>
      </c>
      <c r="P126" s="11" t="s">
        <v>33</v>
      </c>
      <c r="Q126" s="11" t="s">
        <v>34</v>
      </c>
      <c r="R126" s="11" t="s">
        <v>35</v>
      </c>
      <c r="S126" s="11" t="s">
        <v>151</v>
      </c>
      <c r="T126" s="11" t="s">
        <v>152</v>
      </c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5" hidden="false" customHeight="false" outlineLevel="0" collapsed="false">
      <c r="A127" s="6" t="s">
        <v>65</v>
      </c>
      <c r="B127" s="19" t="n">
        <v>1030</v>
      </c>
      <c r="C127" s="19" t="n">
        <f aca="false">B8</f>
        <v>1028</v>
      </c>
      <c r="D127" s="19" t="n">
        <f aca="false">B8-B9</f>
        <v>0</v>
      </c>
      <c r="E127" s="19" t="n">
        <f aca="false">Q8</f>
        <v>34300</v>
      </c>
      <c r="F127" s="19" t="n">
        <f aca="false">R8</f>
        <v>10632</v>
      </c>
      <c r="G127" s="19" t="n">
        <f aca="false">S8</f>
        <v>0</v>
      </c>
      <c r="H127" s="19" t="n">
        <f aca="false">T8</f>
        <v>0</v>
      </c>
      <c r="I127" s="19" t="n">
        <f aca="false">U8</f>
        <v>0</v>
      </c>
      <c r="J127" s="19" t="n">
        <f aca="false">V8</f>
        <v>0</v>
      </c>
      <c r="K127" s="19" t="n">
        <f aca="false">W8</f>
        <v>0</v>
      </c>
      <c r="L127" s="19" t="n">
        <f aca="false">X8</f>
        <v>0</v>
      </c>
      <c r="M127" s="19" t="n">
        <f aca="false">Y8</f>
        <v>0</v>
      </c>
      <c r="N127" s="19" t="n">
        <f aca="false">Z8</f>
        <v>0</v>
      </c>
      <c r="O127" s="19" t="n">
        <f aca="false">AA8</f>
        <v>0</v>
      </c>
      <c r="P127" s="19" t="n">
        <f aca="false">AB8</f>
        <v>0</v>
      </c>
      <c r="Q127" s="19" t="n">
        <f aca="false">AC8</f>
        <v>0</v>
      </c>
      <c r="R127" s="19" t="n">
        <f aca="false">AD8</f>
        <v>0</v>
      </c>
      <c r="S127" s="19" t="n">
        <f aca="false">Q9</f>
        <v>34300</v>
      </c>
      <c r="T127" s="19" t="n">
        <f aca="false">R9</f>
        <v>10632</v>
      </c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5" hidden="false" customHeight="false" outlineLevel="0" collapsed="false">
      <c r="A128" s="20" t="s">
        <v>100</v>
      </c>
      <c r="B128" s="19" t="n">
        <v>225</v>
      </c>
      <c r="C128" s="19" t="n">
        <f aca="false">B14</f>
        <v>224</v>
      </c>
      <c r="D128" s="19" t="n">
        <f aca="false">B14-B15</f>
        <v>0</v>
      </c>
      <c r="E128" s="19" t="n">
        <f aca="false">Q14</f>
        <v>5600</v>
      </c>
      <c r="F128" s="19" t="n">
        <f aca="false">R14</f>
        <v>1568</v>
      </c>
      <c r="G128" s="19" t="n">
        <f aca="false">S14</f>
        <v>0</v>
      </c>
      <c r="H128" s="19" t="n">
        <f aca="false">T14</f>
        <v>0</v>
      </c>
      <c r="I128" s="19" t="n">
        <f aca="false">U14</f>
        <v>0</v>
      </c>
      <c r="J128" s="19" t="n">
        <f aca="false">V14</f>
        <v>0</v>
      </c>
      <c r="K128" s="19" t="n">
        <f aca="false">W14</f>
        <v>0</v>
      </c>
      <c r="L128" s="19" t="n">
        <f aca="false">X14</f>
        <v>0</v>
      </c>
      <c r="M128" s="19" t="n">
        <f aca="false">Y14</f>
        <v>0</v>
      </c>
      <c r="N128" s="19" t="n">
        <f aca="false">Z14</f>
        <v>0</v>
      </c>
      <c r="O128" s="19" t="n">
        <f aca="false">AA14</f>
        <v>0</v>
      </c>
      <c r="P128" s="19" t="n">
        <f aca="false">AB14</f>
        <v>0</v>
      </c>
      <c r="Q128" s="19" t="n">
        <f aca="false">AC14</f>
        <v>0</v>
      </c>
      <c r="R128" s="19" t="n">
        <f aca="false">AD14</f>
        <v>0</v>
      </c>
      <c r="S128" s="19" t="n">
        <f aca="false">Q15</f>
        <v>5600</v>
      </c>
      <c r="T128" s="19" t="n">
        <f aca="false">R15</f>
        <v>1568</v>
      </c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5" hidden="false" customHeight="false" outlineLevel="0" collapsed="false">
      <c r="A129" s="6" t="s">
        <v>103</v>
      </c>
      <c r="B129" s="19" t="n">
        <v>232</v>
      </c>
      <c r="C129" s="19" t="n">
        <f aca="false">B21</f>
        <v>231</v>
      </c>
      <c r="D129" s="19" t="n">
        <f aca="false">B21-B22</f>
        <v>0</v>
      </c>
      <c r="E129" s="19" t="n">
        <f aca="false">Q21</f>
        <v>5100</v>
      </c>
      <c r="F129" s="19" t="n">
        <f aca="false">R21</f>
        <v>1428</v>
      </c>
      <c r="G129" s="19" t="n">
        <f aca="false">S21</f>
        <v>0</v>
      </c>
      <c r="H129" s="19" t="n">
        <f aca="false">T21</f>
        <v>0</v>
      </c>
      <c r="I129" s="19" t="n">
        <f aca="false">U21</f>
        <v>0</v>
      </c>
      <c r="J129" s="19" t="n">
        <f aca="false">V21</f>
        <v>0</v>
      </c>
      <c r="K129" s="19" t="n">
        <f aca="false">W21</f>
        <v>0</v>
      </c>
      <c r="L129" s="19" t="n">
        <f aca="false">X21</f>
        <v>0</v>
      </c>
      <c r="M129" s="19" t="n">
        <f aca="false">Y21</f>
        <v>0</v>
      </c>
      <c r="N129" s="19" t="n">
        <f aca="false">Z21</f>
        <v>0</v>
      </c>
      <c r="O129" s="19" t="n">
        <f aca="false">AA21</f>
        <v>108</v>
      </c>
      <c r="P129" s="19" t="n">
        <f aca="false">AB21</f>
        <v>189</v>
      </c>
      <c r="Q129" s="19" t="n">
        <f aca="false">AC21</f>
        <v>108</v>
      </c>
      <c r="R129" s="19" t="n">
        <f aca="false">AD21</f>
        <v>0</v>
      </c>
      <c r="S129" s="19" t="n">
        <f aca="false">Q22</f>
        <v>5100</v>
      </c>
      <c r="T129" s="19" t="n">
        <f aca="false">R22</f>
        <v>1428</v>
      </c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5" hidden="false" customHeight="false" outlineLevel="0" collapsed="false">
      <c r="A130" s="6" t="s">
        <v>107</v>
      </c>
      <c r="B130" s="19" t="n">
        <v>635</v>
      </c>
      <c r="C130" s="19" t="n">
        <f aca="false">B30</f>
        <v>634</v>
      </c>
      <c r="D130" s="19" t="n">
        <f aca="false">B30-B31</f>
        <v>0</v>
      </c>
      <c r="E130" s="19" t="n">
        <f aca="false">Q30</f>
        <v>8211</v>
      </c>
      <c r="F130" s="19" t="n">
        <f aca="false">R30</f>
        <v>2235</v>
      </c>
      <c r="G130" s="19" t="n">
        <f aca="false">S30</f>
        <v>0</v>
      </c>
      <c r="H130" s="19" t="n">
        <f aca="false">T30</f>
        <v>0</v>
      </c>
      <c r="I130" s="19" t="n">
        <f aca="false">U30</f>
        <v>0</v>
      </c>
      <c r="J130" s="19" t="n">
        <f aca="false">V30</f>
        <v>0</v>
      </c>
      <c r="K130" s="19" t="n">
        <f aca="false">W30</f>
        <v>0</v>
      </c>
      <c r="L130" s="19" t="n">
        <f aca="false">X30</f>
        <v>0</v>
      </c>
      <c r="M130" s="19" t="n">
        <f aca="false">Y30</f>
        <v>0</v>
      </c>
      <c r="N130" s="19" t="n">
        <f aca="false">Z30</f>
        <v>0</v>
      </c>
      <c r="O130" s="19" t="n">
        <f aca="false">AA30</f>
        <v>12</v>
      </c>
      <c r="P130" s="19" t="n">
        <f aca="false">AB30</f>
        <v>21</v>
      </c>
      <c r="Q130" s="19" t="n">
        <f aca="false">AC30</f>
        <v>12</v>
      </c>
      <c r="R130" s="19" t="n">
        <f aca="false">AD30</f>
        <v>0</v>
      </c>
      <c r="S130" s="19" t="n">
        <f aca="false">Q31</f>
        <v>8211</v>
      </c>
      <c r="T130" s="19" t="n">
        <f aca="false">R31</f>
        <v>2235</v>
      </c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5" hidden="false" customHeight="false" outlineLevel="0" collapsed="false">
      <c r="A131" s="6" t="s">
        <v>111</v>
      </c>
      <c r="B131" s="19" t="n">
        <v>982</v>
      </c>
      <c r="C131" s="19" t="n">
        <f aca="false">B42</f>
        <v>981</v>
      </c>
      <c r="D131" s="19" t="n">
        <f aca="false">B42-B43</f>
        <v>0</v>
      </c>
      <c r="E131" s="19" t="n">
        <f aca="false">Q42</f>
        <v>23975</v>
      </c>
      <c r="F131" s="19" t="n">
        <f aca="false">R42</f>
        <v>6730</v>
      </c>
      <c r="G131" s="19" t="n">
        <f aca="false">S42</f>
        <v>0</v>
      </c>
      <c r="H131" s="19" t="n">
        <f aca="false">T42</f>
        <v>0</v>
      </c>
      <c r="I131" s="19" t="n">
        <f aca="false">U42</f>
        <v>0</v>
      </c>
      <c r="J131" s="19" t="n">
        <f aca="false">V42</f>
        <v>0</v>
      </c>
      <c r="K131" s="19" t="n">
        <f aca="false">W42</f>
        <v>0</v>
      </c>
      <c r="L131" s="19" t="n">
        <f aca="false">X42</f>
        <v>0</v>
      </c>
      <c r="M131" s="19" t="n">
        <f aca="false">Y42</f>
        <v>0</v>
      </c>
      <c r="N131" s="19" t="n">
        <f aca="false">Z42</f>
        <v>0</v>
      </c>
      <c r="O131" s="19" t="n">
        <f aca="false">AA42</f>
        <v>64</v>
      </c>
      <c r="P131" s="19" t="n">
        <f aca="false">AB42</f>
        <v>112</v>
      </c>
      <c r="Q131" s="19" t="n">
        <f aca="false">AC42</f>
        <v>64</v>
      </c>
      <c r="R131" s="19" t="n">
        <f aca="false">AD42</f>
        <v>0</v>
      </c>
      <c r="S131" s="19" t="n">
        <f aca="false">Q43</f>
        <v>23975</v>
      </c>
      <c r="T131" s="19" t="n">
        <f aca="false">R43</f>
        <v>6730</v>
      </c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5" hidden="false" customHeight="false" outlineLevel="0" collapsed="false">
      <c r="A132" s="6" t="s">
        <v>117</v>
      </c>
      <c r="B132" s="19" t="n">
        <v>1201</v>
      </c>
      <c r="C132" s="19" t="n">
        <f aca="false">B54</f>
        <v>1200</v>
      </c>
      <c r="D132" s="19" t="n">
        <f aca="false">B54-B55</f>
        <v>0</v>
      </c>
      <c r="E132" s="19" t="n">
        <f aca="false">Q54</f>
        <v>24658</v>
      </c>
      <c r="F132" s="19" t="n">
        <f aca="false">R54</f>
        <v>6952</v>
      </c>
      <c r="G132" s="19" t="n">
        <f aca="false">S54</f>
        <v>0</v>
      </c>
      <c r="H132" s="19" t="n">
        <f aca="false">T54</f>
        <v>0</v>
      </c>
      <c r="I132" s="19" t="n">
        <f aca="false">U54</f>
        <v>0</v>
      </c>
      <c r="J132" s="19" t="n">
        <f aca="false">V54</f>
        <v>0</v>
      </c>
      <c r="K132" s="19" t="n">
        <f aca="false">W54</f>
        <v>0</v>
      </c>
      <c r="L132" s="19" t="n">
        <f aca="false">X54</f>
        <v>0</v>
      </c>
      <c r="M132" s="19" t="n">
        <f aca="false">Y54</f>
        <v>0</v>
      </c>
      <c r="N132" s="19" t="n">
        <f aca="false">Z54</f>
        <v>0</v>
      </c>
      <c r="O132" s="19" t="n">
        <f aca="false">AA54</f>
        <v>132</v>
      </c>
      <c r="P132" s="19" t="n">
        <f aca="false">AB54</f>
        <v>231</v>
      </c>
      <c r="Q132" s="19" t="n">
        <f aca="false">AC54</f>
        <v>132</v>
      </c>
      <c r="R132" s="19" t="n">
        <f aca="false">AD54</f>
        <v>0</v>
      </c>
      <c r="S132" s="19" t="n">
        <f aca="false">Q55</f>
        <v>24658</v>
      </c>
      <c r="T132" s="19" t="n">
        <f aca="false">R55</f>
        <v>6952</v>
      </c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5" hidden="false" customHeight="false" outlineLevel="0" collapsed="false">
      <c r="A133" s="6" t="s">
        <v>120</v>
      </c>
      <c r="B133" s="19" t="n">
        <v>71</v>
      </c>
      <c r="C133" s="19" t="n">
        <f aca="false">B63</f>
        <v>70</v>
      </c>
      <c r="D133" s="19" t="n">
        <f aca="false">B63-B64</f>
        <v>65</v>
      </c>
      <c r="E133" s="19" t="n">
        <f aca="false">Q63</f>
        <v>26940</v>
      </c>
      <c r="F133" s="19" t="n">
        <f aca="false">R63</f>
        <v>9100</v>
      </c>
      <c r="G133" s="19" t="n">
        <f aca="false">S63</f>
        <v>13470</v>
      </c>
      <c r="H133" s="19" t="n">
        <f aca="false">T63</f>
        <v>5570</v>
      </c>
      <c r="I133" s="19" t="n">
        <f aca="false">U63</f>
        <v>1200</v>
      </c>
      <c r="J133" s="19" t="n">
        <f aca="false">V63</f>
        <v>54</v>
      </c>
      <c r="K133" s="19" t="n">
        <f aca="false">W63</f>
        <v>0</v>
      </c>
      <c r="L133" s="19" t="n">
        <f aca="false">X63</f>
        <v>0</v>
      </c>
      <c r="M133" s="19" t="n">
        <f aca="false">Y63</f>
        <v>0</v>
      </c>
      <c r="N133" s="19" t="n">
        <f aca="false">Z63</f>
        <v>0</v>
      </c>
      <c r="O133" s="19" t="n">
        <f aca="false">AA63</f>
        <v>200</v>
      </c>
      <c r="P133" s="19" t="n">
        <f aca="false">AB63</f>
        <v>250</v>
      </c>
      <c r="Q133" s="19" t="n">
        <f aca="false">AC63</f>
        <v>200</v>
      </c>
      <c r="R133" s="19" t="n">
        <f aca="false">AD63</f>
        <v>500</v>
      </c>
      <c r="S133" s="19" t="n">
        <f aca="false">Q64</f>
        <v>0</v>
      </c>
      <c r="T133" s="19" t="n">
        <f aca="false">R64</f>
        <v>0</v>
      </c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5" hidden="false" customHeight="false" outlineLevel="0" collapsed="false">
      <c r="A134" s="6" t="s">
        <v>126</v>
      </c>
      <c r="B134" s="19" t="n">
        <v>21</v>
      </c>
      <c r="C134" s="19" t="n">
        <f aca="false">B72</f>
        <v>20</v>
      </c>
      <c r="D134" s="19" t="n">
        <f aca="false">B72-B73</f>
        <v>14</v>
      </c>
      <c r="E134" s="19" t="n">
        <f aca="false">Q72</f>
        <v>4840</v>
      </c>
      <c r="F134" s="19" t="n">
        <f aca="false">R72</f>
        <v>1500</v>
      </c>
      <c r="G134" s="19" t="n">
        <f aca="false">S72</f>
        <v>2420</v>
      </c>
      <c r="H134" s="19" t="n">
        <f aca="false">T72</f>
        <v>1320</v>
      </c>
      <c r="I134" s="19" t="n">
        <f aca="false">U72</f>
        <v>400</v>
      </c>
      <c r="J134" s="19" t="n">
        <f aca="false">V72</f>
        <v>18</v>
      </c>
      <c r="K134" s="19" t="n">
        <f aca="false">W72</f>
        <v>0</v>
      </c>
      <c r="L134" s="19" t="n">
        <f aca="false">X72</f>
        <v>0</v>
      </c>
      <c r="M134" s="19" t="n">
        <f aca="false">Y72</f>
        <v>0</v>
      </c>
      <c r="N134" s="19" t="n">
        <f aca="false">Z72</f>
        <v>0</v>
      </c>
      <c r="O134" s="19" t="n">
        <f aca="false">AA72</f>
        <v>180</v>
      </c>
      <c r="P134" s="19" t="n">
        <f aca="false">AB72</f>
        <v>120</v>
      </c>
      <c r="Q134" s="19" t="n">
        <f aca="false">AC72</f>
        <v>0</v>
      </c>
      <c r="R134" s="19" t="n">
        <f aca="false">AD72</f>
        <v>300</v>
      </c>
      <c r="S134" s="19" t="n">
        <f aca="false">Q73</f>
        <v>0</v>
      </c>
      <c r="T134" s="19" t="n">
        <f aca="false">R73</f>
        <v>0</v>
      </c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5" hidden="false" customHeight="false" outlineLevel="0" collapsed="false">
      <c r="A135" s="6" t="s">
        <v>129</v>
      </c>
      <c r="B135" s="19" t="n">
        <v>335</v>
      </c>
      <c r="C135" s="19" t="n">
        <f aca="false">B82</f>
        <v>335</v>
      </c>
      <c r="D135" s="19" t="n">
        <f aca="false">B82-B83</f>
        <v>0</v>
      </c>
      <c r="E135" s="19" t="n">
        <f aca="false">Q82</f>
        <v>8027</v>
      </c>
      <c r="F135" s="19" t="n">
        <f aca="false">R82</f>
        <v>2258</v>
      </c>
      <c r="G135" s="19" t="n">
        <f aca="false">S82</f>
        <v>0</v>
      </c>
      <c r="H135" s="19" t="n">
        <f aca="false">T82</f>
        <v>0</v>
      </c>
      <c r="I135" s="19" t="n">
        <f aca="false">U82</f>
        <v>0</v>
      </c>
      <c r="J135" s="19" t="n">
        <f aca="false">V82</f>
        <v>0</v>
      </c>
      <c r="K135" s="19" t="n">
        <f aca="false">W82</f>
        <v>0</v>
      </c>
      <c r="L135" s="19" t="n">
        <f aca="false">X82</f>
        <v>0</v>
      </c>
      <c r="M135" s="19" t="n">
        <f aca="false">Y82</f>
        <v>0</v>
      </c>
      <c r="N135" s="19" t="n">
        <f aca="false">Z82</f>
        <v>0</v>
      </c>
      <c r="O135" s="19" t="n">
        <f aca="false">AA82</f>
        <v>0</v>
      </c>
      <c r="P135" s="19" t="n">
        <f aca="false">AB82</f>
        <v>0</v>
      </c>
      <c r="Q135" s="19" t="n">
        <f aca="false">AC82</f>
        <v>0</v>
      </c>
      <c r="R135" s="19" t="n">
        <f aca="false">AD82</f>
        <v>0</v>
      </c>
      <c r="S135" s="19" t="n">
        <f aca="false">Q83</f>
        <v>8027</v>
      </c>
      <c r="T135" s="19" t="n">
        <f aca="false">R83</f>
        <v>2258</v>
      </c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5" hidden="false" customHeight="false" outlineLevel="0" collapsed="false">
      <c r="A136" s="6" t="s">
        <v>131</v>
      </c>
      <c r="B136" s="19" t="n">
        <v>261</v>
      </c>
      <c r="C136" s="19" t="n">
        <f aca="false">B90</f>
        <v>261</v>
      </c>
      <c r="D136" s="19" t="n">
        <f aca="false">B90-B91</f>
        <v>0</v>
      </c>
      <c r="E136" s="19" t="n">
        <f aca="false">Q90</f>
        <v>3241</v>
      </c>
      <c r="F136" s="19" t="n">
        <f aca="false">R90</f>
        <v>883</v>
      </c>
      <c r="G136" s="19" t="n">
        <f aca="false">S90</f>
        <v>0</v>
      </c>
      <c r="H136" s="19" t="n">
        <f aca="false">T90</f>
        <v>0</v>
      </c>
      <c r="I136" s="19" t="n">
        <f aca="false">U90</f>
        <v>0</v>
      </c>
      <c r="J136" s="19" t="n">
        <f aca="false">V90</f>
        <v>0</v>
      </c>
      <c r="K136" s="19" t="n">
        <f aca="false">W90</f>
        <v>0</v>
      </c>
      <c r="L136" s="19" t="n">
        <f aca="false">X90</f>
        <v>0</v>
      </c>
      <c r="M136" s="19" t="n">
        <f aca="false">Y90</f>
        <v>0</v>
      </c>
      <c r="N136" s="19" t="n">
        <f aca="false">Z90</f>
        <v>0</v>
      </c>
      <c r="O136" s="19" t="n">
        <f aca="false">AA90</f>
        <v>0</v>
      </c>
      <c r="P136" s="19" t="n">
        <f aca="false">AB90</f>
        <v>0</v>
      </c>
      <c r="Q136" s="19" t="n">
        <f aca="false">AC90</f>
        <v>0</v>
      </c>
      <c r="R136" s="19" t="n">
        <f aca="false">AD90</f>
        <v>0</v>
      </c>
      <c r="S136" s="19" t="n">
        <f aca="false">Q91</f>
        <v>3241</v>
      </c>
      <c r="T136" s="19" t="n">
        <f aca="false">R91</f>
        <v>883</v>
      </c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5" hidden="false" customHeight="false" outlineLevel="0" collapsed="false">
      <c r="A137" s="6" t="s">
        <v>133</v>
      </c>
      <c r="B137" s="19" t="n">
        <v>11</v>
      </c>
      <c r="C137" s="19" t="n">
        <f aca="false">B100</f>
        <v>11</v>
      </c>
      <c r="D137" s="19" t="n">
        <f aca="false">B100-B101</f>
        <v>6</v>
      </c>
      <c r="E137" s="19" t="n">
        <f aca="false">Q100</f>
        <v>2305</v>
      </c>
      <c r="F137" s="19" t="n">
        <f aca="false">R100</f>
        <v>507</v>
      </c>
      <c r="G137" s="19" t="n">
        <f aca="false">S100</f>
        <v>940</v>
      </c>
      <c r="H137" s="19" t="n">
        <f aca="false">T100</f>
        <v>840</v>
      </c>
      <c r="I137" s="19" t="n">
        <f aca="false">U100</f>
        <v>400</v>
      </c>
      <c r="J137" s="19" t="n">
        <f aca="false">V100</f>
        <v>6</v>
      </c>
      <c r="K137" s="19" t="n">
        <f aca="false">W100</f>
        <v>0</v>
      </c>
      <c r="L137" s="19" t="n">
        <f aca="false">X100</f>
        <v>0</v>
      </c>
      <c r="M137" s="19" t="n">
        <f aca="false">Y100</f>
        <v>0</v>
      </c>
      <c r="N137" s="19" t="n">
        <f aca="false">Z100</f>
        <v>0</v>
      </c>
      <c r="O137" s="19" t="n">
        <f aca="false">AA100</f>
        <v>160</v>
      </c>
      <c r="P137" s="19" t="n">
        <f aca="false">AB100</f>
        <v>200</v>
      </c>
      <c r="Q137" s="19" t="n">
        <f aca="false">AC100</f>
        <v>160</v>
      </c>
      <c r="R137" s="19" t="n">
        <f aca="false">AD100</f>
        <v>400</v>
      </c>
      <c r="S137" s="19" t="n">
        <f aca="false">Q101</f>
        <v>25</v>
      </c>
      <c r="T137" s="19" t="n">
        <f aca="false">R101</f>
        <v>7</v>
      </c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5" hidden="false" customHeight="false" outlineLevel="0" collapsed="false">
      <c r="A138" s="20" t="s">
        <v>135</v>
      </c>
      <c r="B138" s="19" t="n">
        <v>76</v>
      </c>
      <c r="C138" s="19" t="n">
        <f aca="false">B107</f>
        <v>76</v>
      </c>
      <c r="D138" s="19" t="n">
        <f aca="false">B107-B108</f>
        <v>0</v>
      </c>
      <c r="E138" s="19" t="n">
        <f aca="false">Q107</f>
        <v>1900</v>
      </c>
      <c r="F138" s="19" t="n">
        <f aca="false">R107</f>
        <v>532</v>
      </c>
      <c r="G138" s="19" t="n">
        <f aca="false">S107</f>
        <v>0</v>
      </c>
      <c r="H138" s="19" t="n">
        <f aca="false">T107</f>
        <v>0</v>
      </c>
      <c r="I138" s="19" t="n">
        <f aca="false">U107</f>
        <v>0</v>
      </c>
      <c r="J138" s="19" t="n">
        <f aca="false">V107</f>
        <v>0</v>
      </c>
      <c r="K138" s="19" t="n">
        <f aca="false">W107</f>
        <v>0</v>
      </c>
      <c r="L138" s="19" t="n">
        <f aca="false">X107</f>
        <v>0</v>
      </c>
      <c r="M138" s="19" t="n">
        <f aca="false">Y107</f>
        <v>0</v>
      </c>
      <c r="N138" s="19" t="n">
        <f aca="false">Z107</f>
        <v>0</v>
      </c>
      <c r="O138" s="19" t="n">
        <f aca="false">AA107</f>
        <v>0</v>
      </c>
      <c r="P138" s="19" t="n">
        <f aca="false">AB107</f>
        <v>0</v>
      </c>
      <c r="Q138" s="19" t="n">
        <f aca="false">AC107</f>
        <v>0</v>
      </c>
      <c r="R138" s="19" t="n">
        <f aca="false">AD107</f>
        <v>0</v>
      </c>
      <c r="S138" s="19" t="n">
        <f aca="false">Q108</f>
        <v>1900</v>
      </c>
      <c r="T138" s="19" t="n">
        <f aca="false">R108</f>
        <v>532</v>
      </c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5" hidden="false" customHeight="false" outlineLevel="0" collapsed="false">
      <c r="A139" s="20" t="s">
        <v>137</v>
      </c>
      <c r="B139" s="21"/>
      <c r="C139" s="19" t="n">
        <f aca="false">B121</f>
        <v>129</v>
      </c>
      <c r="D139" s="19" t="n">
        <f aca="false">B121-B122</f>
        <v>0</v>
      </c>
      <c r="E139" s="19" t="n">
        <f aca="false">Q121</f>
        <v>27954</v>
      </c>
      <c r="F139" s="19" t="n">
        <f aca="false">R121</f>
        <v>2932</v>
      </c>
      <c r="G139" s="19" t="n">
        <f aca="false">S121</f>
        <v>220</v>
      </c>
      <c r="H139" s="19" t="n">
        <f aca="false">T121</f>
        <v>5850</v>
      </c>
      <c r="I139" s="19" t="n">
        <f aca="false">U121</f>
        <v>3350</v>
      </c>
      <c r="J139" s="19" t="n">
        <f aca="false">V121</f>
        <v>220</v>
      </c>
      <c r="K139" s="19" t="n">
        <f aca="false">W121</f>
        <v>470</v>
      </c>
      <c r="L139" s="19" t="n">
        <f aca="false">X121</f>
        <v>1400</v>
      </c>
      <c r="M139" s="19" t="n">
        <f aca="false">Y121</f>
        <v>100</v>
      </c>
      <c r="N139" s="19" t="n">
        <f aca="false">Z121</f>
        <v>1480</v>
      </c>
      <c r="O139" s="19" t="n">
        <f aca="false">AA121</f>
        <v>2220</v>
      </c>
      <c r="P139" s="19" t="n">
        <f aca="false">AB121</f>
        <v>0</v>
      </c>
      <c r="Q139" s="19" t="n">
        <f aca="false">AC121</f>
        <v>0</v>
      </c>
      <c r="R139" s="19" t="n">
        <f aca="false">AD121</f>
        <v>0</v>
      </c>
      <c r="S139" s="19" t="n">
        <f aca="false">Q122</f>
        <v>27954</v>
      </c>
      <c r="T139" s="19" t="n">
        <f aca="false">R122</f>
        <v>2932</v>
      </c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5" hidden="false" customHeight="false" outlineLevel="0" collapsed="false">
      <c r="A140" s="8" t="s">
        <v>153</v>
      </c>
      <c r="B140" s="9" t="n">
        <f aca="false">B127+B129+B130+B131+B132+B133+B134+B135+B136+B137</f>
        <v>4779</v>
      </c>
      <c r="C140" s="9" t="n">
        <f aca="false">C127+C129+C130+C131+C132+C133+C134+C135+C136+C137</f>
        <v>4771</v>
      </c>
      <c r="D140" s="9" t="n">
        <f aca="false">D127+D129+D130+D131+D132+D133+D134+D135+D136+D137</f>
        <v>85</v>
      </c>
      <c r="E140" s="9" t="n">
        <f aca="false">E127+E129+E130+E131+E132+E133+E134+E135+E136+E137</f>
        <v>141597</v>
      </c>
      <c r="F140" s="9" t="n">
        <f aca="false">F127+F129+F130+F131+F132+F133+F134+F135+F136+F137</f>
        <v>42225</v>
      </c>
      <c r="G140" s="9" t="n">
        <f aca="false">G127+G129+G130+G131+G132+G133+G134+G135+G136+G137</f>
        <v>16830</v>
      </c>
      <c r="H140" s="9" t="n">
        <f aca="false">H127+H129+H130+H131+H132+H133+H134+H135+H136+H137</f>
        <v>7730</v>
      </c>
      <c r="I140" s="9" t="n">
        <f aca="false">I127+I129+I130+I131+I132+I133+I134+I135+I136+I137</f>
        <v>2000</v>
      </c>
      <c r="J140" s="9" t="n">
        <f aca="false">J127+J129+J130+J131+J132+J133+J134+J135+J136+J137</f>
        <v>78</v>
      </c>
      <c r="K140" s="9" t="n">
        <f aca="false">K127+K129+K130+K131+K132+K133+K134+K135+K136+K137</f>
        <v>0</v>
      </c>
      <c r="L140" s="9" t="n">
        <f aca="false">L127+L129+L130+L131+L132+L133+L134+L135+L136+L137</f>
        <v>0</v>
      </c>
      <c r="M140" s="9" t="n">
        <f aca="false">M127+M129+M130+M131+M132+M133+M134+M135+M136+M137</f>
        <v>0</v>
      </c>
      <c r="N140" s="9" t="n">
        <f aca="false">N127+N129+N130+N131+N132+N133+N134+N135+N136+N137</f>
        <v>0</v>
      </c>
      <c r="O140" s="9" t="n">
        <f aca="false">O127+O129+O130+O131+O132+O133+O134+O135+O136+O137</f>
        <v>856</v>
      </c>
      <c r="P140" s="9" t="n">
        <f aca="false">P127+P129+P130+P131+P132+P133+P134+P135+P136+P137</f>
        <v>1123</v>
      </c>
      <c r="Q140" s="9" t="n">
        <f aca="false">Q127+Q129+Q130+Q131+Q132+Q133+Q134+Q135+Q136+Q137</f>
        <v>676</v>
      </c>
      <c r="R140" s="9" t="n">
        <f aca="false">R127+R129+R130+R131+R132+R133+R134+R135+R136+R137</f>
        <v>1200</v>
      </c>
      <c r="S140" s="9" t="n">
        <f aca="false">S127+S129+S130+S131+S132+S133+S134+S135+S136+S137</f>
        <v>107537</v>
      </c>
      <c r="T140" s="9" t="n">
        <f aca="false">T127+T129+T130+T131+T132+T133+T134+T135+T136+T137</f>
        <v>31125</v>
      </c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5" hidden="false" customHeight="false" outlineLevel="0" collapsed="false">
      <c r="A141" s="8" t="s">
        <v>154</v>
      </c>
      <c r="B141" s="9" t="n">
        <f aca="false">B127+B129+B130+B131+B132+B133+B134+B135+B136+B137+B139</f>
        <v>4779</v>
      </c>
      <c r="C141" s="9" t="n">
        <f aca="false">C127+C129+C130+C131+C132+C133+C134+C135+C136+C137+C139</f>
        <v>4900</v>
      </c>
      <c r="D141" s="9" t="n">
        <f aca="false">D127+D129+D130+D131+D132+D133+D134+D135+D136+D137+D139</f>
        <v>85</v>
      </c>
      <c r="E141" s="9" t="n">
        <f aca="false">E127+E129+E130+E131+E132+E133+E134+E135+E136+E137+E139</f>
        <v>169551</v>
      </c>
      <c r="F141" s="9" t="n">
        <f aca="false">F127+F129+F130+F131+F132+F133+F134+F135+F136+F137+F139</f>
        <v>45157</v>
      </c>
      <c r="G141" s="9" t="n">
        <f aca="false">G127+G129+G130+G131+G132+G133+G134+G135+G136+G137+G139</f>
        <v>17050</v>
      </c>
      <c r="H141" s="9" t="n">
        <f aca="false">H127+H129+H130+H131+H132+H133+H134+H135+H136+H137+H139</f>
        <v>13580</v>
      </c>
      <c r="I141" s="9" t="n">
        <f aca="false">I127+I129+I130+I131+I132+I133+I134+I135+I136+I137+I139</f>
        <v>5350</v>
      </c>
      <c r="J141" s="9" t="n">
        <f aca="false">J127+J129+J130+J131+J132+J133+J134+J135+J136+J137+J139</f>
        <v>298</v>
      </c>
      <c r="K141" s="9" t="n">
        <f aca="false">K127+K129+K130+K131+K132+K133+K134+K135+K136+K137+K139</f>
        <v>470</v>
      </c>
      <c r="L141" s="9" t="n">
        <f aca="false">L127+L129+L130+L131+L132+L133+L134+L135+L136+L137+L139</f>
        <v>1400</v>
      </c>
      <c r="M141" s="9" t="n">
        <f aca="false">M127+M129+M130+M131+M132+M133+M134+M135+M136+M137+M139</f>
        <v>100</v>
      </c>
      <c r="N141" s="9" t="n">
        <f aca="false">N127+N129+N130+N131+N132+N133+N134+N135+N136+N137+N139</f>
        <v>1480</v>
      </c>
      <c r="O141" s="9" t="n">
        <f aca="false">O127+O129+O130+O131+O132+O133+O134+O135+O136+O137+O139</f>
        <v>3076</v>
      </c>
      <c r="P141" s="9" t="n">
        <f aca="false">P127+P129+P130+P131+P132+P133+P134+P135+P136+P137+P139</f>
        <v>1123</v>
      </c>
      <c r="Q141" s="9" t="n">
        <f aca="false">Q127+Q129+Q130+Q131+Q132+Q133+Q134+Q135+Q136+Q137+Q139</f>
        <v>676</v>
      </c>
      <c r="R141" s="9" t="n">
        <f aca="false">R127+R129+R130+R131+R132+R133+R134+R135+R136+R137+R139</f>
        <v>1200</v>
      </c>
      <c r="S141" s="9" t="n">
        <f aca="false">S127+S129+S130+S131+S132+S133+S134+S135+S136+S137+S139</f>
        <v>135491</v>
      </c>
      <c r="T141" s="9" t="n">
        <f aca="false">T127+T129+T130+T131+T132+T133+T134+T135+T136+T137+T139</f>
        <v>34057</v>
      </c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5" hidden="false" customHeight="false" outlineLevel="0" collapsed="false">
      <c r="A142" s="8" t="s">
        <v>155</v>
      </c>
      <c r="B142" s="9" t="n">
        <f aca="false">B127+B129+B130+B131+B132+B133+B134+B135+B136+B137+B139+B128+B138</f>
        <v>5080</v>
      </c>
      <c r="C142" s="9" t="n">
        <f aca="false">C127+C129+C130+C131+C132+C133+C134+C135+C136+C137+C139+C128+C138</f>
        <v>5200</v>
      </c>
      <c r="D142" s="9" t="n">
        <f aca="false">D127+D129+D130+D131+D132+D133+D134+D135+D136+D137+D139+D128+D138</f>
        <v>85</v>
      </c>
      <c r="E142" s="9" t="n">
        <f aca="false">E127+E129+E130+E131+E132+E133+E134+E135+E136+E137+E139+E128+E138</f>
        <v>177051</v>
      </c>
      <c r="F142" s="9" t="n">
        <f aca="false">F127+F129+F130+F131+F132+F133+F134+F135+F136+F137+F139+F128+F138</f>
        <v>47257</v>
      </c>
      <c r="G142" s="9" t="n">
        <f aca="false">G127+G129+G130+G131+G132+G133+G134+G135+G136+G137+G139+G128+G138</f>
        <v>17050</v>
      </c>
      <c r="H142" s="9" t="n">
        <f aca="false">H127+H129+H130+H131+H132+H133+H134+H135+H136+H137+H139+H128+H138</f>
        <v>13580</v>
      </c>
      <c r="I142" s="9" t="n">
        <f aca="false">I127+I129+I130+I131+I132+I133+I134+I135+I136+I137+I139+I128+I138</f>
        <v>5350</v>
      </c>
      <c r="J142" s="9" t="n">
        <f aca="false">J127+J129+J130+J131+J132+J133+J134+J135+J136+J137+J139+J128+J138</f>
        <v>298</v>
      </c>
      <c r="K142" s="9" t="n">
        <f aca="false">K127+K129+K130+K131+K132+K133+K134+K135+K136+K137+K139+K128+K138</f>
        <v>470</v>
      </c>
      <c r="L142" s="9" t="n">
        <f aca="false">L127+L129+L130+L131+L132+L133+L134+L135+L136+L137+L139+L128+L138</f>
        <v>1400</v>
      </c>
      <c r="M142" s="9" t="n">
        <f aca="false">M127+M129+M130+M131+M132+M133+M134+M135+M136+M137+M139+M128+M138</f>
        <v>100</v>
      </c>
      <c r="N142" s="9" t="n">
        <f aca="false">N127+N129+N130+N131+N132+N133+N134+N135+N136+N137+N139+N128+N138</f>
        <v>1480</v>
      </c>
      <c r="O142" s="9" t="n">
        <f aca="false">O127+O129+O130+O131+O132+O133+O134+O135+O136+O137+O139+O128+O138</f>
        <v>3076</v>
      </c>
      <c r="P142" s="9" t="n">
        <f aca="false">P127+P129+P130+P131+P132+P133+P134+P135+P136+P137+P139+P128+P138</f>
        <v>1123</v>
      </c>
      <c r="Q142" s="9" t="n">
        <f aca="false">Q127+Q129+Q130+Q131+Q132+Q133+Q134+Q135+Q136+Q137+Q139+Q128+Q138</f>
        <v>676</v>
      </c>
      <c r="R142" s="9" t="n">
        <f aca="false">R127+R129+R130+R131+R132+R133+R134+R135+R136+R137+R139+R128+R138</f>
        <v>1200</v>
      </c>
      <c r="S142" s="9" t="n">
        <f aca="false">S127+S129+S130+S131+S132+S133+S134+S135+S136+S137+S139+S128+S138</f>
        <v>142991</v>
      </c>
      <c r="T142" s="9" t="n">
        <f aca="false">T127+T129+T130+T131+T132+T133+T134+T135+T136+T137+T139+T128+T138</f>
        <v>36157</v>
      </c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5" hidden="false" customHeight="false" outlineLevel="0" collapsed="false">
      <c r="A144" s="3" t="s">
        <v>156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32" min="5" style="0" width="11"/>
  </cols>
  <sheetData>
    <row r="1" customFormat="false" ht="17.35" hidden="false" customHeight="false" outlineLevel="0" collapsed="false">
      <c r="A1" s="1" t="s">
        <v>157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3" t="s">
        <v>158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42" hidden="false" customHeight="true" outlineLevel="0" collapsed="false">
      <c r="A4" s="11" t="s">
        <v>3</v>
      </c>
      <c r="B4" s="11" t="s">
        <v>67</v>
      </c>
      <c r="C4" s="11" t="s">
        <v>68</v>
      </c>
      <c r="D4" s="11" t="s">
        <v>159</v>
      </c>
      <c r="E4" s="11" t="s">
        <v>69</v>
      </c>
      <c r="F4" s="11" t="s">
        <v>70</v>
      </c>
      <c r="G4" s="11" t="s">
        <v>71</v>
      </c>
      <c r="H4" s="11" t="s">
        <v>72</v>
      </c>
      <c r="I4" s="11" t="s">
        <v>73</v>
      </c>
      <c r="J4" s="11" t="s">
        <v>74</v>
      </c>
      <c r="K4" s="11" t="s">
        <v>75</v>
      </c>
      <c r="L4" s="11" t="s">
        <v>76</v>
      </c>
      <c r="M4" s="11" t="s">
        <v>77</v>
      </c>
      <c r="N4" s="11" t="s">
        <v>78</v>
      </c>
      <c r="O4" s="11" t="s">
        <v>79</v>
      </c>
      <c r="P4" s="11" t="s">
        <v>80</v>
      </c>
      <c r="Q4" s="11" t="s">
        <v>81</v>
      </c>
      <c r="R4" s="11" t="s">
        <v>82</v>
      </c>
      <c r="S4" s="11" t="s">
        <v>83</v>
      </c>
      <c r="T4" s="11" t="s">
        <v>84</v>
      </c>
      <c r="U4" s="11" t="s">
        <v>85</v>
      </c>
      <c r="V4" s="11" t="s">
        <v>86</v>
      </c>
      <c r="W4" s="11" t="s">
        <v>87</v>
      </c>
      <c r="X4" s="11" t="s">
        <v>88</v>
      </c>
      <c r="Y4" s="11" t="s">
        <v>89</v>
      </c>
      <c r="Z4" s="11" t="s">
        <v>90</v>
      </c>
      <c r="AA4" s="11" t="s">
        <v>91</v>
      </c>
      <c r="AB4" s="11" t="s">
        <v>92</v>
      </c>
      <c r="AC4" s="11" t="s">
        <v>93</v>
      </c>
      <c r="AD4" s="11" t="s">
        <v>94</v>
      </c>
      <c r="AE4" s="11" t="s">
        <v>95</v>
      </c>
      <c r="AF4" s="11" t="s">
        <v>96</v>
      </c>
    </row>
    <row r="5" customFormat="false" ht="15" hidden="false" customHeight="false" outlineLevel="0" collapsed="false">
      <c r="A5" s="6" t="s">
        <v>6</v>
      </c>
      <c r="B5" s="6" t="s">
        <v>97</v>
      </c>
      <c r="C5" s="22" t="n">
        <v>684</v>
      </c>
      <c r="D5" s="6"/>
      <c r="E5" s="16" t="n">
        <v>25</v>
      </c>
      <c r="F5" s="16" t="n">
        <v>8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6" t="n">
        <v>0</v>
      </c>
      <c r="S5" s="14" t="n">
        <f aca="false">$C5*E5</f>
        <v>17100</v>
      </c>
      <c r="T5" s="14" t="n">
        <f aca="false">$C5*F5</f>
        <v>5472</v>
      </c>
      <c r="U5" s="14" t="n">
        <f aca="false">$C5*G5</f>
        <v>0</v>
      </c>
      <c r="V5" s="14" t="n">
        <f aca="false">$C5*H5</f>
        <v>0</v>
      </c>
      <c r="W5" s="14" t="n">
        <f aca="false">$C5*I5</f>
        <v>0</v>
      </c>
      <c r="X5" s="14" t="n">
        <f aca="false">$C5*J5</f>
        <v>0</v>
      </c>
      <c r="Y5" s="14" t="n">
        <f aca="false">$C5*K5</f>
        <v>0</v>
      </c>
      <c r="Z5" s="14" t="n">
        <f aca="false">$C5*L5</f>
        <v>0</v>
      </c>
      <c r="AA5" s="14" t="n">
        <f aca="false">$C5*M5</f>
        <v>0</v>
      </c>
      <c r="AB5" s="14" t="n">
        <f aca="false">$C5*N5</f>
        <v>0</v>
      </c>
      <c r="AC5" s="14" t="n">
        <f aca="false">$C5*O5</f>
        <v>0</v>
      </c>
      <c r="AD5" s="14" t="n">
        <f aca="false">$C5*P5</f>
        <v>0</v>
      </c>
      <c r="AE5" s="14" t="n">
        <f aca="false">$C5*Q5</f>
        <v>0</v>
      </c>
      <c r="AF5" s="14" t="n">
        <f aca="false">$C5*R5</f>
        <v>0</v>
      </c>
    </row>
    <row r="6" customFormat="false" ht="15" hidden="false" customHeight="false" outlineLevel="0" collapsed="false">
      <c r="A6" s="6" t="s">
        <v>6</v>
      </c>
      <c r="B6" s="6" t="s">
        <v>105</v>
      </c>
      <c r="C6" s="22" t="n">
        <v>681</v>
      </c>
      <c r="D6" s="6" t="s">
        <v>160</v>
      </c>
      <c r="E6" s="16" t="n">
        <v>25</v>
      </c>
      <c r="F6" s="16" t="n">
        <v>7</v>
      </c>
      <c r="G6" s="16" t="n">
        <v>0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R6" s="16" t="n">
        <v>0</v>
      </c>
      <c r="S6" s="14" t="n">
        <f aca="false">$C6*E6</f>
        <v>17025</v>
      </c>
      <c r="T6" s="14" t="n">
        <f aca="false">$C6*F6</f>
        <v>4767</v>
      </c>
      <c r="U6" s="14" t="n">
        <f aca="false">$C6*G6</f>
        <v>0</v>
      </c>
      <c r="V6" s="14" t="n">
        <f aca="false">$C6*H6</f>
        <v>0</v>
      </c>
      <c r="W6" s="14" t="n">
        <f aca="false">$C6*I6</f>
        <v>0</v>
      </c>
      <c r="X6" s="14" t="n">
        <f aca="false">$C6*J6</f>
        <v>0</v>
      </c>
      <c r="Y6" s="14" t="n">
        <f aca="false">$C6*K6</f>
        <v>0</v>
      </c>
      <c r="Z6" s="14" t="n">
        <f aca="false">$C6*L6</f>
        <v>0</v>
      </c>
      <c r="AA6" s="14" t="n">
        <f aca="false">$C6*M6</f>
        <v>0</v>
      </c>
      <c r="AB6" s="14" t="n">
        <f aca="false">$C6*N6</f>
        <v>0</v>
      </c>
      <c r="AC6" s="14" t="n">
        <f aca="false">$C6*O6</f>
        <v>0</v>
      </c>
      <c r="AD6" s="14" t="n">
        <f aca="false">$C6*P6</f>
        <v>0</v>
      </c>
      <c r="AE6" s="14" t="n">
        <f aca="false">$C6*Q6</f>
        <v>0</v>
      </c>
      <c r="AF6" s="14" t="n">
        <f aca="false">$C6*R6</f>
        <v>0</v>
      </c>
    </row>
    <row r="7" customFormat="false" ht="15" hidden="false" customHeight="false" outlineLevel="0" collapsed="false">
      <c r="A7" s="6" t="s">
        <v>6</v>
      </c>
      <c r="B7" s="6" t="s">
        <v>109</v>
      </c>
      <c r="C7" s="22" t="n">
        <v>668</v>
      </c>
      <c r="D7" s="6" t="s">
        <v>160</v>
      </c>
      <c r="E7" s="16" t="n">
        <v>12</v>
      </c>
      <c r="F7" s="16" t="n">
        <v>3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14" t="n">
        <f aca="false">$C7*E7</f>
        <v>8016</v>
      </c>
      <c r="T7" s="14" t="n">
        <f aca="false">$C7*F7</f>
        <v>2004</v>
      </c>
      <c r="U7" s="14" t="n">
        <f aca="false">$C7*G7</f>
        <v>0</v>
      </c>
      <c r="V7" s="14" t="n">
        <f aca="false">$C7*H7</f>
        <v>0</v>
      </c>
      <c r="W7" s="14" t="n">
        <f aca="false">$C7*I7</f>
        <v>0</v>
      </c>
      <c r="X7" s="14" t="n">
        <f aca="false">$C7*J7</f>
        <v>0</v>
      </c>
      <c r="Y7" s="14" t="n">
        <f aca="false">$C7*K7</f>
        <v>0</v>
      </c>
      <c r="Z7" s="14" t="n">
        <f aca="false">$C7*L7</f>
        <v>0</v>
      </c>
      <c r="AA7" s="14" t="n">
        <f aca="false">$C7*M7</f>
        <v>0</v>
      </c>
      <c r="AB7" s="14" t="n">
        <f aca="false">$C7*N7</f>
        <v>0</v>
      </c>
      <c r="AC7" s="14" t="n">
        <f aca="false">$C7*O7</f>
        <v>0</v>
      </c>
      <c r="AD7" s="14" t="n">
        <f aca="false">$C7*P7</f>
        <v>0</v>
      </c>
      <c r="AE7" s="14" t="n">
        <f aca="false">$C7*Q7</f>
        <v>0</v>
      </c>
      <c r="AF7" s="14" t="n">
        <f aca="false">$C7*R7</f>
        <v>0</v>
      </c>
    </row>
    <row r="8" customFormat="false" ht="15" hidden="false" customHeight="false" outlineLevel="0" collapsed="false">
      <c r="A8" s="6" t="s">
        <v>6</v>
      </c>
      <c r="B8" s="6" t="s">
        <v>114</v>
      </c>
      <c r="C8" s="22" t="n">
        <v>629</v>
      </c>
      <c r="D8" s="6" t="s">
        <v>160</v>
      </c>
      <c r="E8" s="16" t="n">
        <v>18</v>
      </c>
      <c r="F8" s="16" t="n">
        <v>5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6" t="n">
        <v>0</v>
      </c>
      <c r="S8" s="14" t="n">
        <f aca="false">$C8*E8</f>
        <v>11322</v>
      </c>
      <c r="T8" s="14" t="n">
        <f aca="false">$C8*F8</f>
        <v>3145</v>
      </c>
      <c r="U8" s="14" t="n">
        <f aca="false">$C8*G8</f>
        <v>0</v>
      </c>
      <c r="V8" s="14" t="n">
        <f aca="false">$C8*H8</f>
        <v>0</v>
      </c>
      <c r="W8" s="14" t="n">
        <f aca="false">$C8*I8</f>
        <v>0</v>
      </c>
      <c r="X8" s="14" t="n">
        <f aca="false">$C8*J8</f>
        <v>0</v>
      </c>
      <c r="Y8" s="14" t="n">
        <f aca="false">$C8*K8</f>
        <v>0</v>
      </c>
      <c r="Z8" s="14" t="n">
        <f aca="false">$C8*L8</f>
        <v>0</v>
      </c>
      <c r="AA8" s="14" t="n">
        <f aca="false">$C8*M8</f>
        <v>0</v>
      </c>
      <c r="AB8" s="14" t="n">
        <f aca="false">$C8*N8</f>
        <v>0</v>
      </c>
      <c r="AC8" s="14" t="n">
        <f aca="false">$C8*O8</f>
        <v>0</v>
      </c>
      <c r="AD8" s="14" t="n">
        <f aca="false">$C8*P8</f>
        <v>0</v>
      </c>
      <c r="AE8" s="14" t="n">
        <f aca="false">$C8*Q8</f>
        <v>0</v>
      </c>
      <c r="AF8" s="14" t="n">
        <f aca="false">$C8*R8</f>
        <v>0</v>
      </c>
    </row>
    <row r="9" customFormat="false" ht="15" hidden="false" customHeight="false" outlineLevel="0" collapsed="false">
      <c r="A9" s="6" t="s">
        <v>6</v>
      </c>
      <c r="B9" s="6" t="s">
        <v>113</v>
      </c>
      <c r="C9" s="22" t="n">
        <v>515</v>
      </c>
      <c r="D9" s="6"/>
      <c r="E9" s="16" t="n">
        <v>25</v>
      </c>
      <c r="F9" s="16" t="n">
        <v>7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14" t="n">
        <f aca="false">$C9*E9</f>
        <v>12875</v>
      </c>
      <c r="T9" s="14" t="n">
        <f aca="false">$C9*F9</f>
        <v>3605</v>
      </c>
      <c r="U9" s="14" t="n">
        <f aca="false">$C9*G9</f>
        <v>0</v>
      </c>
      <c r="V9" s="14" t="n">
        <f aca="false">$C9*H9</f>
        <v>0</v>
      </c>
      <c r="W9" s="14" t="n">
        <f aca="false">$C9*I9</f>
        <v>0</v>
      </c>
      <c r="X9" s="14" t="n">
        <f aca="false">$C9*J9</f>
        <v>0</v>
      </c>
      <c r="Y9" s="14" t="n">
        <f aca="false">$C9*K9</f>
        <v>0</v>
      </c>
      <c r="Z9" s="14" t="n">
        <f aca="false">$C9*L9</f>
        <v>0</v>
      </c>
      <c r="AA9" s="14" t="n">
        <f aca="false">$C9*M9</f>
        <v>0</v>
      </c>
      <c r="AB9" s="14" t="n">
        <f aca="false">$C9*N9</f>
        <v>0</v>
      </c>
      <c r="AC9" s="14" t="n">
        <f aca="false">$C9*O9</f>
        <v>0</v>
      </c>
      <c r="AD9" s="14" t="n">
        <f aca="false">$C9*P9</f>
        <v>0</v>
      </c>
      <c r="AE9" s="14" t="n">
        <f aca="false">$C9*Q9</f>
        <v>0</v>
      </c>
      <c r="AF9" s="14" t="n">
        <f aca="false">$C9*R9</f>
        <v>0</v>
      </c>
    </row>
    <row r="10" customFormat="false" ht="15" hidden="false" customHeight="false" outlineLevel="0" collapsed="false">
      <c r="A10" s="6" t="s">
        <v>6</v>
      </c>
      <c r="B10" s="6" t="s">
        <v>110</v>
      </c>
      <c r="C10" s="22" t="n">
        <v>508</v>
      </c>
      <c r="D10" s="6" t="s">
        <v>160</v>
      </c>
      <c r="E10" s="16" t="n">
        <v>13</v>
      </c>
      <c r="F10" s="16" t="n">
        <v>4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R10" s="16" t="n">
        <v>0</v>
      </c>
      <c r="S10" s="14" t="n">
        <f aca="false">$C10*E10</f>
        <v>6604</v>
      </c>
      <c r="T10" s="14" t="n">
        <f aca="false">$C10*F10</f>
        <v>2032</v>
      </c>
      <c r="U10" s="14" t="n">
        <f aca="false">$C10*G10</f>
        <v>0</v>
      </c>
      <c r="V10" s="14" t="n">
        <f aca="false">$C10*H10</f>
        <v>0</v>
      </c>
      <c r="W10" s="14" t="n">
        <f aca="false">$C10*I10</f>
        <v>0</v>
      </c>
      <c r="X10" s="14" t="n">
        <f aca="false">$C10*J10</f>
        <v>0</v>
      </c>
      <c r="Y10" s="14" t="n">
        <f aca="false">$C10*K10</f>
        <v>0</v>
      </c>
      <c r="Z10" s="14" t="n">
        <f aca="false">$C10*L10</f>
        <v>0</v>
      </c>
      <c r="AA10" s="14" t="n">
        <f aca="false">$C10*M10</f>
        <v>0</v>
      </c>
      <c r="AB10" s="14" t="n">
        <f aca="false">$C10*N10</f>
        <v>0</v>
      </c>
      <c r="AC10" s="14" t="n">
        <f aca="false">$C10*O10</f>
        <v>0</v>
      </c>
      <c r="AD10" s="14" t="n">
        <f aca="false">$C10*P10</f>
        <v>0</v>
      </c>
      <c r="AE10" s="14" t="n">
        <f aca="false">$C10*Q10</f>
        <v>0</v>
      </c>
      <c r="AF10" s="14" t="n">
        <f aca="false">$C10*R10</f>
        <v>0</v>
      </c>
    </row>
    <row r="11" customFormat="false" ht="15" hidden="false" customHeight="false" outlineLevel="0" collapsed="false">
      <c r="A11" s="6" t="s">
        <v>6</v>
      </c>
      <c r="B11" s="6" t="s">
        <v>98</v>
      </c>
      <c r="C11" s="22" t="n">
        <v>344</v>
      </c>
      <c r="D11" s="6"/>
      <c r="E11" s="16" t="n">
        <v>50</v>
      </c>
      <c r="F11" s="16" t="n">
        <v>15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6" t="n">
        <v>0</v>
      </c>
      <c r="S11" s="14" t="n">
        <f aca="false">$C11*E11</f>
        <v>17200</v>
      </c>
      <c r="T11" s="14" t="n">
        <f aca="false">$C11*F11</f>
        <v>5160</v>
      </c>
      <c r="U11" s="14" t="n">
        <f aca="false">$C11*G11</f>
        <v>0</v>
      </c>
      <c r="V11" s="14" t="n">
        <f aca="false">$C11*H11</f>
        <v>0</v>
      </c>
      <c r="W11" s="14" t="n">
        <f aca="false">$C11*I11</f>
        <v>0</v>
      </c>
      <c r="X11" s="14" t="n">
        <f aca="false">$C11*J11</f>
        <v>0</v>
      </c>
      <c r="Y11" s="14" t="n">
        <f aca="false">$C11*K11</f>
        <v>0</v>
      </c>
      <c r="Z11" s="14" t="n">
        <f aca="false">$C11*L11</f>
        <v>0</v>
      </c>
      <c r="AA11" s="14" t="n">
        <f aca="false">$C11*M11</f>
        <v>0</v>
      </c>
      <c r="AB11" s="14" t="n">
        <f aca="false">$C11*N11</f>
        <v>0</v>
      </c>
      <c r="AC11" s="14" t="n">
        <f aca="false">$C11*O11</f>
        <v>0</v>
      </c>
      <c r="AD11" s="14" t="n">
        <f aca="false">$C11*P11</f>
        <v>0</v>
      </c>
      <c r="AE11" s="14" t="n">
        <f aca="false">$C11*Q11</f>
        <v>0</v>
      </c>
      <c r="AF11" s="14" t="n">
        <f aca="false">$C11*R11</f>
        <v>0</v>
      </c>
    </row>
    <row r="12" customFormat="false" ht="15" hidden="false" customHeight="false" outlineLevel="0" collapsed="false">
      <c r="A12" s="6" t="s">
        <v>6</v>
      </c>
      <c r="B12" s="6" t="s">
        <v>115</v>
      </c>
      <c r="C12" s="22" t="n">
        <v>311</v>
      </c>
      <c r="D12" s="6"/>
      <c r="E12" s="16" t="n">
        <v>35</v>
      </c>
      <c r="F12" s="16" t="n">
        <v>10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R12" s="16" t="n">
        <v>0</v>
      </c>
      <c r="S12" s="14" t="n">
        <f aca="false">$C12*E12</f>
        <v>10885</v>
      </c>
      <c r="T12" s="14" t="n">
        <f aca="false">$C12*F12</f>
        <v>3110</v>
      </c>
      <c r="U12" s="14" t="n">
        <f aca="false">$C12*G12</f>
        <v>0</v>
      </c>
      <c r="V12" s="14" t="n">
        <f aca="false">$C12*H12</f>
        <v>0</v>
      </c>
      <c r="W12" s="14" t="n">
        <f aca="false">$C12*I12</f>
        <v>0</v>
      </c>
      <c r="X12" s="14" t="n">
        <f aca="false">$C12*J12</f>
        <v>0</v>
      </c>
      <c r="Y12" s="14" t="n">
        <f aca="false">$C12*K12</f>
        <v>0</v>
      </c>
      <c r="Z12" s="14" t="n">
        <f aca="false">$C12*L12</f>
        <v>0</v>
      </c>
      <c r="AA12" s="14" t="n">
        <f aca="false">$C12*M12</f>
        <v>0</v>
      </c>
      <c r="AB12" s="14" t="n">
        <f aca="false">$C12*N12</f>
        <v>0</v>
      </c>
      <c r="AC12" s="14" t="n">
        <f aca="false">$C12*O12</f>
        <v>0</v>
      </c>
      <c r="AD12" s="14" t="n">
        <f aca="false">$C12*P12</f>
        <v>0</v>
      </c>
      <c r="AE12" s="14" t="n">
        <f aca="false">$C12*Q12</f>
        <v>0</v>
      </c>
      <c r="AF12" s="14" t="n">
        <f aca="false">$C12*R12</f>
        <v>0</v>
      </c>
    </row>
    <row r="13" customFormat="false" ht="15" hidden="false" customHeight="false" outlineLevel="0" collapsed="false">
      <c r="A13" s="6" t="s">
        <v>6</v>
      </c>
      <c r="B13" s="6" t="s">
        <v>102</v>
      </c>
      <c r="C13" s="22" t="n">
        <v>240</v>
      </c>
      <c r="D13" s="6"/>
      <c r="E13" s="16" t="n">
        <v>25</v>
      </c>
      <c r="F13" s="16" t="n">
        <v>7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6" t="n">
        <v>0</v>
      </c>
      <c r="S13" s="14" t="n">
        <f aca="false">$C13*E13</f>
        <v>6000</v>
      </c>
      <c r="T13" s="14" t="n">
        <f aca="false">$C13*F13</f>
        <v>1680</v>
      </c>
      <c r="U13" s="14" t="n">
        <f aca="false">$C13*G13</f>
        <v>0</v>
      </c>
      <c r="V13" s="14" t="n">
        <f aca="false">$C13*H13</f>
        <v>0</v>
      </c>
      <c r="W13" s="14" t="n">
        <f aca="false">$C13*I13</f>
        <v>0</v>
      </c>
      <c r="X13" s="14" t="n">
        <f aca="false">$C13*J13</f>
        <v>0</v>
      </c>
      <c r="Y13" s="14" t="n">
        <f aca="false">$C13*K13</f>
        <v>0</v>
      </c>
      <c r="Z13" s="14" t="n">
        <f aca="false">$C13*L13</f>
        <v>0</v>
      </c>
      <c r="AA13" s="14" t="n">
        <f aca="false">$C13*M13</f>
        <v>0</v>
      </c>
      <c r="AB13" s="14" t="n">
        <f aca="false">$C13*N13</f>
        <v>0</v>
      </c>
      <c r="AC13" s="14" t="n">
        <f aca="false">$C13*O13</f>
        <v>0</v>
      </c>
      <c r="AD13" s="14" t="n">
        <f aca="false">$C13*P13</f>
        <v>0</v>
      </c>
      <c r="AE13" s="14" t="n">
        <f aca="false">$C13*Q13</f>
        <v>0</v>
      </c>
      <c r="AF13" s="14" t="n">
        <f aca="false">$C13*R13</f>
        <v>0</v>
      </c>
    </row>
    <row r="14" customFormat="false" ht="15" hidden="false" customHeight="false" outlineLevel="0" collapsed="false">
      <c r="A14" s="6" t="s">
        <v>6</v>
      </c>
      <c r="B14" s="6" t="s">
        <v>116</v>
      </c>
      <c r="C14" s="22" t="n">
        <v>6</v>
      </c>
      <c r="D14" s="6" t="s">
        <v>160</v>
      </c>
      <c r="E14" s="16" t="n">
        <v>50</v>
      </c>
      <c r="F14" s="16" t="n">
        <v>15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4" t="n">
        <f aca="false">$C14*E14</f>
        <v>300</v>
      </c>
      <c r="T14" s="14" t="n">
        <f aca="false">$C14*F14</f>
        <v>90</v>
      </c>
      <c r="U14" s="14" t="n">
        <f aca="false">$C14*G14</f>
        <v>0</v>
      </c>
      <c r="V14" s="14" t="n">
        <f aca="false">$C14*H14</f>
        <v>0</v>
      </c>
      <c r="W14" s="14" t="n">
        <f aca="false">$C14*I14</f>
        <v>0</v>
      </c>
      <c r="X14" s="14" t="n">
        <f aca="false">$C14*J14</f>
        <v>0</v>
      </c>
      <c r="Y14" s="14" t="n">
        <f aca="false">$C14*K14</f>
        <v>0</v>
      </c>
      <c r="Z14" s="14" t="n">
        <f aca="false">$C14*L14</f>
        <v>0</v>
      </c>
      <c r="AA14" s="14" t="n">
        <f aca="false">$C14*M14</f>
        <v>0</v>
      </c>
      <c r="AB14" s="14" t="n">
        <f aca="false">$C14*N14</f>
        <v>0</v>
      </c>
      <c r="AC14" s="14" t="n">
        <f aca="false">$C14*O14</f>
        <v>0</v>
      </c>
      <c r="AD14" s="14" t="n">
        <f aca="false">$C14*P14</f>
        <v>0</v>
      </c>
      <c r="AE14" s="14" t="n">
        <f aca="false">$C14*Q14</f>
        <v>0</v>
      </c>
      <c r="AF14" s="14" t="n">
        <f aca="false">$C14*R14</f>
        <v>0</v>
      </c>
    </row>
    <row r="15" customFormat="false" ht="15" hidden="false" customHeight="false" outlineLevel="0" collapsed="false">
      <c r="A15" s="6" t="s">
        <v>6</v>
      </c>
      <c r="B15" s="6" t="s">
        <v>119</v>
      </c>
      <c r="C15" s="22" t="n">
        <v>6</v>
      </c>
      <c r="D15" s="6" t="s">
        <v>160</v>
      </c>
      <c r="E15" s="16" t="n">
        <v>35</v>
      </c>
      <c r="F15" s="16" t="n">
        <v>10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14" t="n">
        <f aca="false">$C15*E15</f>
        <v>210</v>
      </c>
      <c r="T15" s="14" t="n">
        <f aca="false">$C15*F15</f>
        <v>60</v>
      </c>
      <c r="U15" s="14" t="n">
        <f aca="false">$C15*G15</f>
        <v>0</v>
      </c>
      <c r="V15" s="14" t="n">
        <f aca="false">$C15*H15</f>
        <v>0</v>
      </c>
      <c r="W15" s="14" t="n">
        <f aca="false">$C15*I15</f>
        <v>0</v>
      </c>
      <c r="X15" s="14" t="n">
        <f aca="false">$C15*J15</f>
        <v>0</v>
      </c>
      <c r="Y15" s="14" t="n">
        <f aca="false">$C15*K15</f>
        <v>0</v>
      </c>
      <c r="Z15" s="14" t="n">
        <f aca="false">$C15*L15</f>
        <v>0</v>
      </c>
      <c r="AA15" s="14" t="n">
        <f aca="false">$C15*M15</f>
        <v>0</v>
      </c>
      <c r="AB15" s="14" t="n">
        <f aca="false">$C15*N15</f>
        <v>0</v>
      </c>
      <c r="AC15" s="14" t="n">
        <f aca="false">$C15*O15</f>
        <v>0</v>
      </c>
      <c r="AD15" s="14" t="n">
        <f aca="false">$C15*P15</f>
        <v>0</v>
      </c>
      <c r="AE15" s="14" t="n">
        <f aca="false">$C15*Q15</f>
        <v>0</v>
      </c>
      <c r="AF15" s="14" t="n">
        <f aca="false">$C15*R15</f>
        <v>0</v>
      </c>
    </row>
    <row r="16" customFormat="false" ht="15" hidden="false" customHeight="false" outlineLevel="0" collapsed="false">
      <c r="A16" s="6" t="s">
        <v>8</v>
      </c>
      <c r="B16" s="6" t="s">
        <v>125</v>
      </c>
      <c r="C16" s="22" t="n">
        <v>9</v>
      </c>
      <c r="D16" s="6" t="s">
        <v>160</v>
      </c>
      <c r="E16" s="16" t="n">
        <v>0</v>
      </c>
      <c r="F16" s="16" t="n">
        <v>0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40</v>
      </c>
      <c r="P16" s="16" t="n">
        <v>50</v>
      </c>
      <c r="Q16" s="16" t="n">
        <v>40</v>
      </c>
      <c r="R16" s="16" t="n">
        <v>100</v>
      </c>
      <c r="S16" s="14" t="n">
        <f aca="false">$C16*E16</f>
        <v>0</v>
      </c>
      <c r="T16" s="14" t="n">
        <f aca="false">$C16*F16</f>
        <v>0</v>
      </c>
      <c r="U16" s="14" t="n">
        <f aca="false">$C16*G16</f>
        <v>0</v>
      </c>
      <c r="V16" s="14" t="n">
        <f aca="false">$C16*H16</f>
        <v>0</v>
      </c>
      <c r="W16" s="14" t="n">
        <f aca="false">$C16*I16</f>
        <v>0</v>
      </c>
      <c r="X16" s="14" t="n">
        <f aca="false">$C16*J16</f>
        <v>0</v>
      </c>
      <c r="Y16" s="14" t="n">
        <f aca="false">$C16*K16</f>
        <v>0</v>
      </c>
      <c r="Z16" s="14" t="n">
        <f aca="false">$C16*L16</f>
        <v>0</v>
      </c>
      <c r="AA16" s="14" t="n">
        <f aca="false">$C16*M16</f>
        <v>0</v>
      </c>
      <c r="AB16" s="14" t="n">
        <f aca="false">$C16*N16</f>
        <v>0</v>
      </c>
      <c r="AC16" s="14" t="n">
        <f aca="false">$C16*O16</f>
        <v>360</v>
      </c>
      <c r="AD16" s="14" t="n">
        <f aca="false">$C16*P16</f>
        <v>450</v>
      </c>
      <c r="AE16" s="14" t="n">
        <f aca="false">$C16*Q16</f>
        <v>360</v>
      </c>
      <c r="AF16" s="14" t="n">
        <f aca="false">$C16*R16</f>
        <v>900</v>
      </c>
    </row>
    <row r="17" customFormat="false" ht="15" hidden="false" customHeight="false" outlineLevel="0" collapsed="false">
      <c r="A17" s="6" t="s">
        <v>8</v>
      </c>
      <c r="B17" s="6" t="s">
        <v>128</v>
      </c>
      <c r="C17" s="22" t="n">
        <v>6</v>
      </c>
      <c r="D17" s="6" t="s">
        <v>160</v>
      </c>
      <c r="E17" s="16" t="n">
        <v>0</v>
      </c>
      <c r="F17" s="16" t="n">
        <v>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30</v>
      </c>
      <c r="P17" s="16" t="n">
        <v>20</v>
      </c>
      <c r="Q17" s="16" t="n">
        <v>0</v>
      </c>
      <c r="R17" s="16" t="n">
        <v>50</v>
      </c>
      <c r="S17" s="14" t="n">
        <f aca="false">$C17*E17</f>
        <v>0</v>
      </c>
      <c r="T17" s="14" t="n">
        <f aca="false">$C17*F17</f>
        <v>0</v>
      </c>
      <c r="U17" s="14" t="n">
        <f aca="false">$C17*G17</f>
        <v>0</v>
      </c>
      <c r="V17" s="14" t="n">
        <f aca="false">$C17*H17</f>
        <v>0</v>
      </c>
      <c r="W17" s="14" t="n">
        <f aca="false">$C17*I17</f>
        <v>0</v>
      </c>
      <c r="X17" s="14" t="n">
        <f aca="false">$C17*J17</f>
        <v>0</v>
      </c>
      <c r="Y17" s="14" t="n">
        <f aca="false">$C17*K17</f>
        <v>0</v>
      </c>
      <c r="Z17" s="14" t="n">
        <f aca="false">$C17*L17</f>
        <v>0</v>
      </c>
      <c r="AA17" s="14" t="n">
        <f aca="false">$C17*M17</f>
        <v>0</v>
      </c>
      <c r="AB17" s="14" t="n">
        <f aca="false">$C17*N17</f>
        <v>0</v>
      </c>
      <c r="AC17" s="14" t="n">
        <f aca="false">$C17*O17</f>
        <v>180</v>
      </c>
      <c r="AD17" s="14" t="n">
        <f aca="false">$C17*P17</f>
        <v>120</v>
      </c>
      <c r="AE17" s="14" t="n">
        <f aca="false">$C17*Q17</f>
        <v>0</v>
      </c>
      <c r="AF17" s="14" t="n">
        <f aca="false">$C17*R17</f>
        <v>300</v>
      </c>
    </row>
    <row r="18" customFormat="false" ht="15" hidden="false" customHeight="false" outlineLevel="0" collapsed="false">
      <c r="A18" s="6" t="s">
        <v>10</v>
      </c>
      <c r="B18" s="6" t="s">
        <v>141</v>
      </c>
      <c r="C18" s="22" t="n">
        <v>8</v>
      </c>
      <c r="D18" s="6" t="s">
        <v>160</v>
      </c>
      <c r="E18" s="16" t="n">
        <v>13</v>
      </c>
      <c r="F18" s="16" t="n">
        <v>4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0</v>
      </c>
      <c r="P18" s="16" t="n">
        <v>0</v>
      </c>
      <c r="Q18" s="16" t="n">
        <v>0</v>
      </c>
      <c r="R18" s="16" t="n">
        <v>0</v>
      </c>
      <c r="S18" s="14" t="n">
        <f aca="false">$C18*E18</f>
        <v>104</v>
      </c>
      <c r="T18" s="14" t="n">
        <f aca="false">$C18*F18</f>
        <v>32</v>
      </c>
      <c r="U18" s="14" t="n">
        <f aca="false">$C18*G18</f>
        <v>0</v>
      </c>
      <c r="V18" s="14" t="n">
        <f aca="false">$C18*H18</f>
        <v>0</v>
      </c>
      <c r="W18" s="14" t="n">
        <f aca="false">$C18*I18</f>
        <v>0</v>
      </c>
      <c r="X18" s="14" t="n">
        <f aca="false">$C18*J18</f>
        <v>0</v>
      </c>
      <c r="Y18" s="14" t="n">
        <f aca="false">$C18*K18</f>
        <v>0</v>
      </c>
      <c r="Z18" s="14" t="n">
        <f aca="false">$C18*L18</f>
        <v>0</v>
      </c>
      <c r="AA18" s="14" t="n">
        <f aca="false">$C18*M18</f>
        <v>0</v>
      </c>
      <c r="AB18" s="14" t="n">
        <f aca="false">$C18*N18</f>
        <v>0</v>
      </c>
      <c r="AC18" s="14" t="n">
        <f aca="false">$C18*O18</f>
        <v>0</v>
      </c>
      <c r="AD18" s="14" t="n">
        <f aca="false">$C18*P18</f>
        <v>0</v>
      </c>
      <c r="AE18" s="14" t="n">
        <f aca="false">$C18*Q18</f>
        <v>0</v>
      </c>
      <c r="AF18" s="14" t="n">
        <f aca="false">$C18*R18</f>
        <v>0</v>
      </c>
    </row>
    <row r="19" customFormat="false" ht="15" hidden="false" customHeight="false" outlineLevel="0" collapsed="false">
      <c r="A19" s="6" t="s">
        <v>12</v>
      </c>
      <c r="B19" s="6" t="s">
        <v>138</v>
      </c>
      <c r="C19" s="22" t="n">
        <v>74</v>
      </c>
      <c r="D19" s="6"/>
      <c r="E19" s="16" t="n">
        <v>25</v>
      </c>
      <c r="F19" s="16" t="n">
        <v>0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16" t="n">
        <v>20</v>
      </c>
      <c r="O19" s="16" t="n">
        <v>30</v>
      </c>
      <c r="P19" s="16" t="n">
        <v>0</v>
      </c>
      <c r="Q19" s="16" t="n">
        <v>0</v>
      </c>
      <c r="R19" s="16" t="n">
        <v>0</v>
      </c>
      <c r="S19" s="14" t="n">
        <f aca="false">$C19*E19</f>
        <v>1850</v>
      </c>
      <c r="T19" s="14" t="n">
        <f aca="false">$C19*F19</f>
        <v>0</v>
      </c>
      <c r="U19" s="14" t="n">
        <f aca="false">$C19*G19</f>
        <v>0</v>
      </c>
      <c r="V19" s="14" t="n">
        <f aca="false">$C19*H19</f>
        <v>0</v>
      </c>
      <c r="W19" s="14" t="n">
        <f aca="false">$C19*I19</f>
        <v>0</v>
      </c>
      <c r="X19" s="14" t="n">
        <f aca="false">$C19*J19</f>
        <v>0</v>
      </c>
      <c r="Y19" s="14" t="n">
        <f aca="false">$C19*K19</f>
        <v>0</v>
      </c>
      <c r="Z19" s="14" t="n">
        <f aca="false">$C19*L19</f>
        <v>0</v>
      </c>
      <c r="AA19" s="14" t="n">
        <f aca="false">$C19*M19</f>
        <v>0</v>
      </c>
      <c r="AB19" s="14" t="n">
        <f aca="false">$C19*N19</f>
        <v>1480</v>
      </c>
      <c r="AC19" s="14" t="n">
        <f aca="false">$C19*O19</f>
        <v>2220</v>
      </c>
      <c r="AD19" s="14" t="n">
        <f aca="false">$C19*P19</f>
        <v>0</v>
      </c>
      <c r="AE19" s="14" t="n">
        <f aca="false">$C19*Q19</f>
        <v>0</v>
      </c>
      <c r="AF19" s="14" t="n">
        <f aca="false">$C19*R19</f>
        <v>0</v>
      </c>
    </row>
    <row r="20" customFormat="false" ht="15" hidden="false" customHeight="false" outlineLevel="0" collapsed="false">
      <c r="A20" s="6" t="s">
        <v>14</v>
      </c>
      <c r="B20" s="6" t="s">
        <v>106</v>
      </c>
      <c r="C20" s="22" t="n">
        <v>79</v>
      </c>
      <c r="D20" s="6" t="s">
        <v>160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O20" s="16" t="n">
        <v>4</v>
      </c>
      <c r="P20" s="16" t="n">
        <v>7</v>
      </c>
      <c r="Q20" s="16" t="n">
        <v>4</v>
      </c>
      <c r="R20" s="16" t="n">
        <v>0</v>
      </c>
      <c r="S20" s="14" t="n">
        <f aca="false">$C20*E20</f>
        <v>0</v>
      </c>
      <c r="T20" s="14" t="n">
        <f aca="false">$C20*F20</f>
        <v>0</v>
      </c>
      <c r="U20" s="14" t="n">
        <f aca="false">$C20*G20</f>
        <v>0</v>
      </c>
      <c r="V20" s="14" t="n">
        <f aca="false">$C20*H20</f>
        <v>0</v>
      </c>
      <c r="W20" s="14" t="n">
        <f aca="false">$C20*I20</f>
        <v>0</v>
      </c>
      <c r="X20" s="14" t="n">
        <f aca="false">$C20*J20</f>
        <v>0</v>
      </c>
      <c r="Y20" s="14" t="n">
        <f aca="false">$C20*K20</f>
        <v>0</v>
      </c>
      <c r="Z20" s="14" t="n">
        <f aca="false">$C20*L20</f>
        <v>0</v>
      </c>
      <c r="AA20" s="14" t="n">
        <f aca="false">$C20*M20</f>
        <v>0</v>
      </c>
      <c r="AB20" s="14" t="n">
        <f aca="false">$C20*N20</f>
        <v>0</v>
      </c>
      <c r="AC20" s="14" t="n">
        <f aca="false">$C20*O20</f>
        <v>316</v>
      </c>
      <c r="AD20" s="14" t="n">
        <f aca="false">$C20*P20</f>
        <v>553</v>
      </c>
      <c r="AE20" s="14" t="n">
        <f aca="false">$C20*Q20</f>
        <v>316</v>
      </c>
      <c r="AF20" s="14" t="n">
        <f aca="false">$C20*R20</f>
        <v>0</v>
      </c>
    </row>
    <row r="21" customFormat="false" ht="15" hidden="false" customHeight="false" outlineLevel="0" collapsed="false">
      <c r="A21" s="6" t="s">
        <v>16</v>
      </c>
      <c r="B21" s="6" t="s">
        <v>139</v>
      </c>
      <c r="C21" s="22" t="n">
        <v>20</v>
      </c>
      <c r="D21" s="6"/>
      <c r="E21" s="16" t="n">
        <v>125</v>
      </c>
      <c r="F21" s="16" t="n">
        <v>0</v>
      </c>
      <c r="G21" s="16" t="n">
        <v>0</v>
      </c>
      <c r="H21" s="16" t="n">
        <v>55</v>
      </c>
      <c r="I21" s="16" t="n">
        <v>75</v>
      </c>
      <c r="J21" s="16" t="n">
        <v>3</v>
      </c>
      <c r="K21" s="16" t="n">
        <v>4</v>
      </c>
      <c r="L21" s="16" t="n">
        <v>0</v>
      </c>
      <c r="M21" s="16" t="n">
        <v>0</v>
      </c>
      <c r="N21" s="16" t="n">
        <v>0</v>
      </c>
      <c r="O21" s="16" t="n">
        <v>0</v>
      </c>
      <c r="P21" s="16" t="n">
        <v>0</v>
      </c>
      <c r="Q21" s="16" t="n">
        <v>0</v>
      </c>
      <c r="R21" s="16" t="n">
        <v>0</v>
      </c>
      <c r="S21" s="14" t="n">
        <f aca="false">$C21*E21</f>
        <v>2500</v>
      </c>
      <c r="T21" s="14" t="n">
        <f aca="false">$C21*F21</f>
        <v>0</v>
      </c>
      <c r="U21" s="14" t="n">
        <f aca="false">$C21*G21</f>
        <v>0</v>
      </c>
      <c r="V21" s="14" t="n">
        <f aca="false">$C21*H21</f>
        <v>1100</v>
      </c>
      <c r="W21" s="14" t="n">
        <f aca="false">$C21*I21</f>
        <v>1500</v>
      </c>
      <c r="X21" s="14" t="n">
        <f aca="false">$C21*J21</f>
        <v>60</v>
      </c>
      <c r="Y21" s="14" t="n">
        <f aca="false">$C21*K21</f>
        <v>80</v>
      </c>
      <c r="Z21" s="14" t="n">
        <f aca="false">$C21*L21</f>
        <v>0</v>
      </c>
      <c r="AA21" s="14" t="n">
        <f aca="false">$C21*M21</f>
        <v>0</v>
      </c>
      <c r="AB21" s="14" t="n">
        <f aca="false">$C21*N21</f>
        <v>0</v>
      </c>
      <c r="AC21" s="14" t="n">
        <f aca="false">$C21*O21</f>
        <v>0</v>
      </c>
      <c r="AD21" s="14" t="n">
        <f aca="false">$C21*P21</f>
        <v>0</v>
      </c>
      <c r="AE21" s="14" t="n">
        <f aca="false">$C21*Q21</f>
        <v>0</v>
      </c>
      <c r="AF21" s="14" t="n">
        <f aca="false">$C21*R21</f>
        <v>0</v>
      </c>
    </row>
    <row r="22" customFormat="false" ht="15" hidden="false" customHeight="false" outlineLevel="0" collapsed="false">
      <c r="A22" s="6" t="s">
        <v>16</v>
      </c>
      <c r="B22" s="6" t="s">
        <v>140</v>
      </c>
      <c r="C22" s="22" t="n">
        <v>20</v>
      </c>
      <c r="D22" s="6" t="s">
        <v>160</v>
      </c>
      <c r="E22" s="16" t="n">
        <v>500</v>
      </c>
      <c r="F22" s="16" t="n">
        <v>100</v>
      </c>
      <c r="G22" s="16" t="n">
        <v>0</v>
      </c>
      <c r="H22" s="16" t="n">
        <v>90</v>
      </c>
      <c r="I22" s="16" t="n">
        <v>0</v>
      </c>
      <c r="J22" s="16" t="n">
        <v>0</v>
      </c>
      <c r="K22" s="16" t="n">
        <v>0</v>
      </c>
      <c r="L22" s="16" t="n">
        <v>70</v>
      </c>
      <c r="M22" s="16" t="n">
        <v>0</v>
      </c>
      <c r="N22" s="16" t="n">
        <v>0</v>
      </c>
      <c r="O22" s="16" t="n">
        <v>0</v>
      </c>
      <c r="P22" s="16" t="n">
        <v>0</v>
      </c>
      <c r="Q22" s="16" t="n">
        <v>0</v>
      </c>
      <c r="R22" s="16" t="n">
        <v>0</v>
      </c>
      <c r="S22" s="14" t="n">
        <f aca="false">$C22*E22</f>
        <v>10000</v>
      </c>
      <c r="T22" s="14" t="n">
        <f aca="false">$C22*F22</f>
        <v>2000</v>
      </c>
      <c r="U22" s="14" t="n">
        <f aca="false">$C22*G22</f>
        <v>0</v>
      </c>
      <c r="V22" s="14" t="n">
        <f aca="false">$C22*H22</f>
        <v>1800</v>
      </c>
      <c r="W22" s="14" t="n">
        <f aca="false">$C22*I22</f>
        <v>0</v>
      </c>
      <c r="X22" s="14" t="n">
        <f aca="false">$C22*J22</f>
        <v>0</v>
      </c>
      <c r="Y22" s="14" t="n">
        <f aca="false">$C22*K22</f>
        <v>0</v>
      </c>
      <c r="Z22" s="14" t="n">
        <f aca="false">$C22*L22</f>
        <v>1400</v>
      </c>
      <c r="AA22" s="14" t="n">
        <f aca="false">$C22*M22</f>
        <v>0</v>
      </c>
      <c r="AB22" s="14" t="n">
        <f aca="false">$C22*N22</f>
        <v>0</v>
      </c>
      <c r="AC22" s="14" t="n">
        <f aca="false">$C22*O22</f>
        <v>0</v>
      </c>
      <c r="AD22" s="14" t="n">
        <f aca="false">$C22*P22</f>
        <v>0</v>
      </c>
      <c r="AE22" s="14" t="n">
        <f aca="false">$C22*Q22</f>
        <v>0</v>
      </c>
      <c r="AF22" s="14" t="n">
        <f aca="false">$C22*R22</f>
        <v>0</v>
      </c>
    </row>
    <row r="23" customFormat="false" ht="15" hidden="false" customHeight="false" outlineLevel="0" collapsed="false">
      <c r="A23" s="6" t="s">
        <v>16</v>
      </c>
      <c r="B23" s="6" t="s">
        <v>142</v>
      </c>
      <c r="C23" s="22" t="n">
        <v>2</v>
      </c>
      <c r="D23" s="6"/>
      <c r="E23" s="16" t="n">
        <v>2400</v>
      </c>
      <c r="F23" s="16" t="n">
        <v>0</v>
      </c>
      <c r="G23" s="16" t="n">
        <v>0</v>
      </c>
      <c r="H23" s="16" t="n">
        <v>500</v>
      </c>
      <c r="I23" s="16" t="n">
        <v>250</v>
      </c>
      <c r="J23" s="16" t="n">
        <v>30</v>
      </c>
      <c r="K23" s="16" t="n">
        <v>120</v>
      </c>
      <c r="L23" s="16" t="n">
        <v>0</v>
      </c>
      <c r="M23" s="16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R23" s="16" t="n">
        <v>0</v>
      </c>
      <c r="S23" s="14" t="n">
        <f aca="false">$C23*E23</f>
        <v>4800</v>
      </c>
      <c r="T23" s="14" t="n">
        <f aca="false">$C23*F23</f>
        <v>0</v>
      </c>
      <c r="U23" s="14" t="n">
        <f aca="false">$C23*G23</f>
        <v>0</v>
      </c>
      <c r="V23" s="14" t="n">
        <f aca="false">$C23*H23</f>
        <v>1000</v>
      </c>
      <c r="W23" s="14" t="n">
        <f aca="false">$C23*I23</f>
        <v>500</v>
      </c>
      <c r="X23" s="14" t="n">
        <f aca="false">$C23*J23</f>
        <v>60</v>
      </c>
      <c r="Y23" s="14" t="n">
        <f aca="false">$C23*K23</f>
        <v>240</v>
      </c>
      <c r="Z23" s="14" t="n">
        <f aca="false">$C23*L23</f>
        <v>0</v>
      </c>
      <c r="AA23" s="14" t="n">
        <f aca="false">$C23*M23</f>
        <v>0</v>
      </c>
      <c r="AB23" s="14" t="n">
        <f aca="false">$C23*N23</f>
        <v>0</v>
      </c>
      <c r="AC23" s="14" t="n">
        <f aca="false">$C23*O23</f>
        <v>0</v>
      </c>
      <c r="AD23" s="14" t="n">
        <f aca="false">$C23*P23</f>
        <v>0</v>
      </c>
      <c r="AE23" s="14" t="n">
        <f aca="false">$C23*Q23</f>
        <v>0</v>
      </c>
      <c r="AF23" s="14" t="n">
        <f aca="false">$C23*R23</f>
        <v>0</v>
      </c>
    </row>
    <row r="24" customFormat="false" ht="15" hidden="false" customHeight="false" outlineLevel="0" collapsed="false">
      <c r="A24" s="6" t="s">
        <v>16</v>
      </c>
      <c r="B24" s="6" t="s">
        <v>143</v>
      </c>
      <c r="C24" s="22" t="n">
        <v>2</v>
      </c>
      <c r="D24" s="6" t="s">
        <v>160</v>
      </c>
      <c r="E24" s="16" t="n">
        <v>0</v>
      </c>
      <c r="F24" s="16" t="n">
        <v>0</v>
      </c>
      <c r="G24" s="16" t="n">
        <v>0</v>
      </c>
      <c r="H24" s="16" t="n">
        <v>0</v>
      </c>
      <c r="I24" s="16" t="n">
        <v>0</v>
      </c>
      <c r="J24" s="16" t="n">
        <v>0</v>
      </c>
      <c r="K24" s="16" t="n">
        <v>0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R24" s="16" t="n">
        <v>0</v>
      </c>
      <c r="S24" s="14" t="n">
        <f aca="false">$C24*E24</f>
        <v>0</v>
      </c>
      <c r="T24" s="14" t="n">
        <f aca="false">$C24*F24</f>
        <v>0</v>
      </c>
      <c r="U24" s="14" t="n">
        <f aca="false">$C24*G24</f>
        <v>0</v>
      </c>
      <c r="V24" s="14" t="n">
        <f aca="false">$C24*H24</f>
        <v>0</v>
      </c>
      <c r="W24" s="14" t="n">
        <f aca="false">$C24*I24</f>
        <v>0</v>
      </c>
      <c r="X24" s="14" t="n">
        <f aca="false">$C24*J24</f>
        <v>0</v>
      </c>
      <c r="Y24" s="14" t="n">
        <f aca="false">$C24*K24</f>
        <v>0</v>
      </c>
      <c r="Z24" s="14" t="n">
        <f aca="false">$C24*L24</f>
        <v>0</v>
      </c>
      <c r="AA24" s="14" t="n">
        <f aca="false">$C24*M24</f>
        <v>0</v>
      </c>
      <c r="AB24" s="14" t="n">
        <f aca="false">$C24*N24</f>
        <v>0</v>
      </c>
      <c r="AC24" s="14" t="n">
        <f aca="false">$C24*O24</f>
        <v>0</v>
      </c>
      <c r="AD24" s="14" t="n">
        <f aca="false">$C24*P24</f>
        <v>0</v>
      </c>
      <c r="AE24" s="14" t="n">
        <f aca="false">$C24*Q24</f>
        <v>0</v>
      </c>
      <c r="AF24" s="14" t="n">
        <f aca="false">$C24*R24</f>
        <v>0</v>
      </c>
    </row>
    <row r="25" customFormat="false" ht="15" hidden="false" customHeight="false" outlineLevel="0" collapsed="false">
      <c r="A25" s="6" t="s">
        <v>16</v>
      </c>
      <c r="B25" s="6" t="s">
        <v>144</v>
      </c>
      <c r="C25" s="22" t="n">
        <v>1</v>
      </c>
      <c r="D25" s="6"/>
      <c r="E25" s="16" t="n">
        <v>5000</v>
      </c>
      <c r="F25" s="16" t="n">
        <v>0</v>
      </c>
      <c r="G25" s="16" t="n">
        <v>0</v>
      </c>
      <c r="H25" s="16" t="n">
        <v>800</v>
      </c>
      <c r="I25" s="16" t="n">
        <v>600</v>
      </c>
      <c r="J25" s="16" t="n">
        <v>100</v>
      </c>
      <c r="K25" s="16" t="n">
        <v>150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R25" s="16" t="n">
        <v>0</v>
      </c>
      <c r="S25" s="14" t="n">
        <f aca="false">$C25*E25</f>
        <v>5000</v>
      </c>
      <c r="T25" s="14" t="n">
        <f aca="false">$C25*F25</f>
        <v>0</v>
      </c>
      <c r="U25" s="14" t="n">
        <f aca="false">$C25*G25</f>
        <v>0</v>
      </c>
      <c r="V25" s="14" t="n">
        <f aca="false">$C25*H25</f>
        <v>800</v>
      </c>
      <c r="W25" s="14" t="n">
        <f aca="false">$C25*I25</f>
        <v>600</v>
      </c>
      <c r="X25" s="14" t="n">
        <f aca="false">$C25*J25</f>
        <v>100</v>
      </c>
      <c r="Y25" s="14" t="n">
        <f aca="false">$C25*K25</f>
        <v>150</v>
      </c>
      <c r="Z25" s="14" t="n">
        <f aca="false">$C25*L25</f>
        <v>0</v>
      </c>
      <c r="AA25" s="14" t="n">
        <f aca="false">$C25*M25</f>
        <v>0</v>
      </c>
      <c r="AB25" s="14" t="n">
        <f aca="false">$C25*N25</f>
        <v>0</v>
      </c>
      <c r="AC25" s="14" t="n">
        <f aca="false">$C25*O25</f>
        <v>0</v>
      </c>
      <c r="AD25" s="14" t="n">
        <f aca="false">$C25*P25</f>
        <v>0</v>
      </c>
      <c r="AE25" s="14" t="n">
        <f aca="false">$C25*Q25</f>
        <v>0</v>
      </c>
      <c r="AF25" s="14" t="n">
        <f aca="false">$C25*R25</f>
        <v>0</v>
      </c>
    </row>
    <row r="26" customFormat="false" ht="15" hidden="false" customHeight="false" outlineLevel="0" collapsed="false">
      <c r="A26" s="6" t="s">
        <v>16</v>
      </c>
      <c r="B26" s="6" t="s">
        <v>145</v>
      </c>
      <c r="C26" s="22" t="n">
        <v>1</v>
      </c>
      <c r="D26" s="6"/>
      <c r="E26" s="16" t="n">
        <v>3250</v>
      </c>
      <c r="F26" s="16" t="n">
        <v>600</v>
      </c>
      <c r="G26" s="16" t="n">
        <v>200</v>
      </c>
      <c r="H26" s="16" t="n">
        <v>1000</v>
      </c>
      <c r="I26" s="16" t="n">
        <v>500</v>
      </c>
      <c r="J26" s="16" t="n">
        <v>0</v>
      </c>
      <c r="K26" s="16" t="n">
        <v>0</v>
      </c>
      <c r="L26" s="16" t="n">
        <v>0</v>
      </c>
      <c r="M26" s="16" t="n">
        <v>0</v>
      </c>
      <c r="N26" s="16" t="n">
        <v>0</v>
      </c>
      <c r="O26" s="16" t="n">
        <v>0</v>
      </c>
      <c r="P26" s="16" t="n">
        <v>0</v>
      </c>
      <c r="Q26" s="16" t="n">
        <v>0</v>
      </c>
      <c r="R26" s="16" t="n">
        <v>0</v>
      </c>
      <c r="S26" s="14" t="n">
        <f aca="false">$C26*E26</f>
        <v>3250</v>
      </c>
      <c r="T26" s="14" t="n">
        <f aca="false">$C26*F26</f>
        <v>600</v>
      </c>
      <c r="U26" s="14" t="n">
        <f aca="false">$C26*G26</f>
        <v>200</v>
      </c>
      <c r="V26" s="14" t="n">
        <f aca="false">$C26*H26</f>
        <v>1000</v>
      </c>
      <c r="W26" s="14" t="n">
        <f aca="false">$C26*I26</f>
        <v>500</v>
      </c>
      <c r="X26" s="14" t="n">
        <f aca="false">$C26*J26</f>
        <v>0</v>
      </c>
      <c r="Y26" s="14" t="n">
        <f aca="false">$C26*K26</f>
        <v>0</v>
      </c>
      <c r="Z26" s="14" t="n">
        <f aca="false">$C26*L26</f>
        <v>0</v>
      </c>
      <c r="AA26" s="14" t="n">
        <f aca="false">$C26*M26</f>
        <v>0</v>
      </c>
      <c r="AB26" s="14" t="n">
        <f aca="false">$C26*N26</f>
        <v>0</v>
      </c>
      <c r="AC26" s="14" t="n">
        <f aca="false">$C26*O26</f>
        <v>0</v>
      </c>
      <c r="AD26" s="14" t="n">
        <f aca="false">$C26*P26</f>
        <v>0</v>
      </c>
      <c r="AE26" s="14" t="n">
        <f aca="false">$C26*Q26</f>
        <v>0</v>
      </c>
      <c r="AF26" s="14" t="n">
        <f aca="false">$C26*R26</f>
        <v>0</v>
      </c>
    </row>
    <row r="27" customFormat="false" ht="15" hidden="false" customHeight="false" outlineLevel="0" collapsed="false">
      <c r="A27" s="6" t="s">
        <v>16</v>
      </c>
      <c r="B27" s="6" t="s">
        <v>146</v>
      </c>
      <c r="C27" s="22" t="n">
        <v>1</v>
      </c>
      <c r="D27" s="6"/>
      <c r="E27" s="16" t="n">
        <v>450</v>
      </c>
      <c r="F27" s="16" t="n">
        <v>300</v>
      </c>
      <c r="G27" s="16" t="n">
        <v>20</v>
      </c>
      <c r="H27" s="16" t="n">
        <v>150</v>
      </c>
      <c r="I27" s="16" t="n">
        <v>250</v>
      </c>
      <c r="J27" s="16" t="n">
        <v>0</v>
      </c>
      <c r="K27" s="16" t="n">
        <v>0</v>
      </c>
      <c r="L27" s="16" t="n">
        <v>0</v>
      </c>
      <c r="M27" s="16" t="n">
        <v>100</v>
      </c>
      <c r="N27" s="16" t="n">
        <v>0</v>
      </c>
      <c r="O27" s="16" t="n">
        <v>0</v>
      </c>
      <c r="P27" s="16" t="n">
        <v>0</v>
      </c>
      <c r="Q27" s="16" t="n">
        <v>0</v>
      </c>
      <c r="R27" s="16" t="n">
        <v>0</v>
      </c>
      <c r="S27" s="14" t="n">
        <f aca="false">$C27*E27</f>
        <v>450</v>
      </c>
      <c r="T27" s="14" t="n">
        <f aca="false">$C27*F27</f>
        <v>300</v>
      </c>
      <c r="U27" s="14" t="n">
        <f aca="false">$C27*G27</f>
        <v>20</v>
      </c>
      <c r="V27" s="14" t="n">
        <f aca="false">$C27*H27</f>
        <v>150</v>
      </c>
      <c r="W27" s="14" t="n">
        <f aca="false">$C27*I27</f>
        <v>250</v>
      </c>
      <c r="X27" s="14" t="n">
        <f aca="false">$C27*J27</f>
        <v>0</v>
      </c>
      <c r="Y27" s="14" t="n">
        <f aca="false">$C27*K27</f>
        <v>0</v>
      </c>
      <c r="Z27" s="14" t="n">
        <f aca="false">$C27*L27</f>
        <v>0</v>
      </c>
      <c r="AA27" s="14" t="n">
        <f aca="false">$C27*M27</f>
        <v>100</v>
      </c>
      <c r="AB27" s="14" t="n">
        <f aca="false">$C27*N27</f>
        <v>0</v>
      </c>
      <c r="AC27" s="14" t="n">
        <f aca="false">$C27*O27</f>
        <v>0</v>
      </c>
      <c r="AD27" s="14" t="n">
        <f aca="false">$C27*P27</f>
        <v>0</v>
      </c>
      <c r="AE27" s="14" t="n">
        <f aca="false">$C27*Q27</f>
        <v>0</v>
      </c>
      <c r="AF27" s="14" t="n">
        <f aca="false">$C27*R27</f>
        <v>0</v>
      </c>
    </row>
    <row r="28" customFormat="false" ht="15" hidden="false" customHeight="false" outlineLevel="0" collapsed="false">
      <c r="A28" s="6" t="s">
        <v>18</v>
      </c>
      <c r="B28" s="6" t="s">
        <v>161</v>
      </c>
      <c r="C28" s="22" t="n">
        <v>49</v>
      </c>
      <c r="D28" s="6"/>
      <c r="E28" s="16" t="n">
        <v>540</v>
      </c>
      <c r="F28" s="16" t="n">
        <v>200</v>
      </c>
      <c r="G28" s="16" t="n">
        <v>270</v>
      </c>
      <c r="H28" s="16" t="n">
        <v>70</v>
      </c>
      <c r="I28" s="16" t="n">
        <v>0</v>
      </c>
      <c r="J28" s="16" t="n">
        <v>0</v>
      </c>
      <c r="K28" s="16" t="n">
        <v>0</v>
      </c>
      <c r="L28" s="16" t="n">
        <v>0</v>
      </c>
      <c r="M28" s="16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R28" s="16" t="n">
        <v>0</v>
      </c>
      <c r="S28" s="14" t="n">
        <f aca="false">$C28*E28</f>
        <v>26460</v>
      </c>
      <c r="T28" s="14" t="n">
        <f aca="false">$C28*F28</f>
        <v>9800</v>
      </c>
      <c r="U28" s="14" t="n">
        <f aca="false">$C28*G28</f>
        <v>13230</v>
      </c>
      <c r="V28" s="14" t="n">
        <f aca="false">$C28*H28</f>
        <v>3430</v>
      </c>
      <c r="W28" s="14" t="n">
        <f aca="false">$C28*I28</f>
        <v>0</v>
      </c>
      <c r="X28" s="14" t="n">
        <f aca="false">$C28*J28</f>
        <v>0</v>
      </c>
      <c r="Y28" s="14" t="n">
        <f aca="false">$C28*K28</f>
        <v>0</v>
      </c>
      <c r="Z28" s="14" t="n">
        <f aca="false">$C28*L28</f>
        <v>0</v>
      </c>
      <c r="AA28" s="14" t="n">
        <f aca="false">$C28*M28</f>
        <v>0</v>
      </c>
      <c r="AB28" s="14" t="n">
        <f aca="false">$C28*N28</f>
        <v>0</v>
      </c>
      <c r="AC28" s="14" t="n">
        <f aca="false">$C28*O28</f>
        <v>0</v>
      </c>
      <c r="AD28" s="14" t="n">
        <f aca="false">$C28*P28</f>
        <v>0</v>
      </c>
      <c r="AE28" s="14" t="n">
        <f aca="false">$C28*Q28</f>
        <v>0</v>
      </c>
      <c r="AF28" s="14" t="n">
        <f aca="false">$C28*R28</f>
        <v>0</v>
      </c>
    </row>
    <row r="29" customFormat="false" ht="15" hidden="false" customHeight="false" outlineLevel="0" collapsed="false">
      <c r="A29" s="6" t="s">
        <v>18</v>
      </c>
      <c r="B29" s="6" t="s">
        <v>162</v>
      </c>
      <c r="C29" s="22" t="n">
        <v>26</v>
      </c>
      <c r="D29" s="6"/>
      <c r="E29" s="16" t="n">
        <v>100</v>
      </c>
      <c r="F29" s="16" t="n">
        <v>50</v>
      </c>
      <c r="G29" s="16" t="n">
        <v>100</v>
      </c>
      <c r="H29" s="16" t="n">
        <v>50</v>
      </c>
      <c r="I29" s="16" t="n">
        <v>0</v>
      </c>
      <c r="J29" s="16" t="n">
        <v>3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6" t="n">
        <v>0</v>
      </c>
      <c r="S29" s="14" t="n">
        <f aca="false">$C29*E29</f>
        <v>2600</v>
      </c>
      <c r="T29" s="14" t="n">
        <f aca="false">$C29*F29</f>
        <v>1300</v>
      </c>
      <c r="U29" s="14" t="n">
        <f aca="false">$C29*G29</f>
        <v>2600</v>
      </c>
      <c r="V29" s="14" t="n">
        <f aca="false">$C29*H29</f>
        <v>1300</v>
      </c>
      <c r="W29" s="14" t="n">
        <f aca="false">$C29*I29</f>
        <v>0</v>
      </c>
      <c r="X29" s="14" t="n">
        <f aca="false">$C29*J29</f>
        <v>78</v>
      </c>
      <c r="Y29" s="14" t="n">
        <f aca="false">$C29*K29</f>
        <v>0</v>
      </c>
      <c r="Z29" s="14" t="n">
        <f aca="false">$C29*L29</f>
        <v>0</v>
      </c>
      <c r="AA29" s="14" t="n">
        <f aca="false">$C29*M29</f>
        <v>0</v>
      </c>
      <c r="AB29" s="14" t="n">
        <f aca="false">$C29*N29</f>
        <v>0</v>
      </c>
      <c r="AC29" s="14" t="n">
        <f aca="false">$C29*O29</f>
        <v>0</v>
      </c>
      <c r="AD29" s="14" t="n">
        <f aca="false">$C29*P29</f>
        <v>0</v>
      </c>
      <c r="AE29" s="14" t="n">
        <f aca="false">$C29*Q29</f>
        <v>0</v>
      </c>
      <c r="AF29" s="14" t="n">
        <f aca="false">$C29*R29</f>
        <v>0</v>
      </c>
    </row>
    <row r="30" customFormat="false" ht="15" hidden="false" customHeight="false" outlineLevel="0" collapsed="false">
      <c r="A30" s="6" t="s">
        <v>18</v>
      </c>
      <c r="B30" s="6" t="s">
        <v>163</v>
      </c>
      <c r="C30" s="22" t="n">
        <v>10</v>
      </c>
      <c r="D30" s="6"/>
      <c r="E30" s="16" t="n">
        <v>500</v>
      </c>
      <c r="F30" s="16" t="n">
        <v>0</v>
      </c>
      <c r="G30" s="16" t="n">
        <v>100</v>
      </c>
      <c r="H30" s="16" t="n">
        <v>300</v>
      </c>
      <c r="I30" s="16" t="n">
        <v>200</v>
      </c>
      <c r="J30" s="16" t="n">
        <v>0</v>
      </c>
      <c r="K30" s="16" t="n">
        <v>0</v>
      </c>
      <c r="L30" s="16" t="n">
        <v>0</v>
      </c>
      <c r="M30" s="16" t="n">
        <v>0</v>
      </c>
      <c r="N30" s="16" t="n">
        <v>0</v>
      </c>
      <c r="O30" s="16" t="n">
        <v>0</v>
      </c>
      <c r="P30" s="16" t="n">
        <v>0</v>
      </c>
      <c r="Q30" s="16" t="n">
        <v>0</v>
      </c>
      <c r="R30" s="16" t="n">
        <v>0</v>
      </c>
      <c r="S30" s="14" t="n">
        <f aca="false">$C30*E30</f>
        <v>5000</v>
      </c>
      <c r="T30" s="14" t="n">
        <f aca="false">$C30*F30</f>
        <v>0</v>
      </c>
      <c r="U30" s="14" t="n">
        <f aca="false">$C30*G30</f>
        <v>1000</v>
      </c>
      <c r="V30" s="14" t="n">
        <f aca="false">$C30*H30</f>
        <v>3000</v>
      </c>
      <c r="W30" s="14" t="n">
        <f aca="false">$C30*I30</f>
        <v>2000</v>
      </c>
      <c r="X30" s="14" t="n">
        <f aca="false">$C30*J30</f>
        <v>0</v>
      </c>
      <c r="Y30" s="14" t="n">
        <f aca="false">$C30*K30</f>
        <v>0</v>
      </c>
      <c r="Z30" s="14" t="n">
        <f aca="false">$C30*L30</f>
        <v>0</v>
      </c>
      <c r="AA30" s="14" t="n">
        <f aca="false">$C30*M30</f>
        <v>0</v>
      </c>
      <c r="AB30" s="14" t="n">
        <f aca="false">$C30*N30</f>
        <v>0</v>
      </c>
      <c r="AC30" s="14" t="n">
        <f aca="false">$C30*O30</f>
        <v>0</v>
      </c>
      <c r="AD30" s="14" t="n">
        <f aca="false">$C30*P30</f>
        <v>0</v>
      </c>
      <c r="AE30" s="14" t="n">
        <f aca="false">$C30*Q30</f>
        <v>0</v>
      </c>
      <c r="AF30" s="14" t="n">
        <f aca="false">$C30*R30</f>
        <v>0</v>
      </c>
    </row>
    <row r="31" customFormat="false" ht="15" hidden="false" customHeight="false" outlineLevel="0" collapsed="false">
      <c r="A31" s="8" t="s">
        <v>164</v>
      </c>
      <c r="B31" s="17"/>
      <c r="C31" s="8" t="n">
        <f aca="false">SUM(C5:C30)</f>
        <v>4900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9" t="n">
        <f aca="false">SUM(S5:S30)</f>
        <v>169551</v>
      </c>
      <c r="T31" s="9" t="n">
        <f aca="false">SUM(T5:T30)</f>
        <v>45157</v>
      </c>
      <c r="U31" s="9" t="n">
        <f aca="false">SUM(U5:U30)</f>
        <v>17050</v>
      </c>
      <c r="V31" s="9" t="n">
        <f aca="false">SUM(V5:V30)</f>
        <v>13580</v>
      </c>
      <c r="W31" s="9" t="n">
        <f aca="false">SUM(W5:W30)</f>
        <v>5350</v>
      </c>
      <c r="X31" s="9" t="n">
        <f aca="false">SUM(X5:X30)</f>
        <v>298</v>
      </c>
      <c r="Y31" s="9" t="n">
        <f aca="false">SUM(Y5:Y30)</f>
        <v>470</v>
      </c>
      <c r="Z31" s="9" t="n">
        <f aca="false">SUM(Z5:Z30)</f>
        <v>1400</v>
      </c>
      <c r="AA31" s="9" t="n">
        <f aca="false">SUM(AA5:AA30)</f>
        <v>100</v>
      </c>
      <c r="AB31" s="9" t="n">
        <f aca="false">SUM(AB5:AB30)</f>
        <v>1480</v>
      </c>
      <c r="AC31" s="9" t="n">
        <f aca="false">SUM(AC5:AC30)</f>
        <v>3076</v>
      </c>
      <c r="AD31" s="9" t="n">
        <f aca="false">SUM(AD5:AD30)</f>
        <v>1123</v>
      </c>
      <c r="AE31" s="9" t="n">
        <f aca="false">SUM(AE5:AE30)</f>
        <v>676</v>
      </c>
      <c r="AF31" s="9" t="n">
        <f aca="false">SUM(AF5:AF30)</f>
        <v>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5" min="2" style="0" width="11"/>
  </cols>
  <sheetData>
    <row r="1" customFormat="false" ht="17.35" hidden="false" customHeight="false" outlineLevel="0" collapsed="false">
      <c r="A1" s="1" t="s">
        <v>165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4" t="s">
        <v>167</v>
      </c>
      <c r="B4" s="23" t="n">
        <f aca="false">INDEX(Détail!$E$5:$E$30,MATCH("Fondation triangle métal",Détail!$B$5:$B$30,0))</f>
        <v>25</v>
      </c>
      <c r="C4" s="23" t="n">
        <f aca="false">INDEX(Détail!$E$5:$E$30,MATCH("Cadre de porte double métal",Détail!$B$5:$B$30,0))</f>
        <v>25</v>
      </c>
      <c r="D4" s="23" t="n">
        <f aca="false">INDEX(Détail!$E$5:$E$30,MATCH("Rampe inclinée métal (Sloped Railing)",Détail!$B$5:$B$30,0))</f>
        <v>12</v>
      </c>
      <c r="E4" s="23" t="n">
        <f aca="false">INDEX(Détail!$E$5:$E$30,MATCH("Plafond triangle métal",Détail!$B$5:$B$30,0))</f>
        <v>18</v>
      </c>
      <c r="F4" s="23" t="n">
        <f aca="false">INDEX(Détail!$E$5:$E$30,MATCH("Mur métal",Détail!$B$5:$B$30,0))</f>
        <v>25</v>
      </c>
      <c r="G4" s="23" t="n">
        <f aca="false">INDEX(Détail!$E$5:$E$30,MATCH("Pilier fin métal (Thin Pillar)",Détail!$B$5:$B$30,0))</f>
        <v>13</v>
      </c>
      <c r="H4" s="23" t="n">
        <f aca="false">INDEX(Détail!$E$5:$E$30,MATCH("Fondation métal",Détail!$B$5:$B$30,0))</f>
        <v>50</v>
      </c>
      <c r="I4" s="23" t="n">
        <f aca="false">INDEX(Détail!$E$5:$E$30,MATCH("Plafond métal",Détail!$B$5:$B$30,0))</f>
        <v>35</v>
      </c>
      <c r="J4" s="23" t="n">
        <f aca="false">INDEX(Détail!$E$5:$E$30,MATCH("Pilier métal",Détail!$B$5:$B$30,0))</f>
        <v>25</v>
      </c>
      <c r="K4" s="23" t="n">
        <f aca="false">INDEX(Détail!$E$5:$E$30,MATCH("Escalier métal",Détail!$B$5:$B$30,0))</f>
        <v>50</v>
      </c>
      <c r="L4" s="23" t="n">
        <f aca="false">INDEX(Détail!$E$5:$E$30,MATCH("Plafond à trappe métal",Détail!$B$5:$B$30,0))</f>
        <v>35</v>
      </c>
      <c r="M4" s="2"/>
      <c r="N4" s="2"/>
      <c r="O4" s="2"/>
    </row>
    <row r="5" customFormat="false" ht="15" hidden="false" customHeight="false" outlineLevel="0" collapsed="false">
      <c r="A5" s="4" t="s">
        <v>168</v>
      </c>
      <c r="B5" s="23" t="n">
        <f aca="false">INDEX(Détail!$F$5:$F$30,MATCH("Fondation triangle métal",Détail!$B$5:$B$30,0))</f>
        <v>8</v>
      </c>
      <c r="C5" s="23" t="n">
        <f aca="false">INDEX(Détail!$F$5:$F$30,MATCH("Cadre de porte double métal",Détail!$B$5:$B$30,0))</f>
        <v>7</v>
      </c>
      <c r="D5" s="23" t="n">
        <f aca="false">INDEX(Détail!$F$5:$F$30,MATCH("Rampe inclinée métal (Sloped Railing)",Détail!$B$5:$B$30,0))</f>
        <v>3</v>
      </c>
      <c r="E5" s="23" t="n">
        <f aca="false">INDEX(Détail!$F$5:$F$30,MATCH("Plafond triangle métal",Détail!$B$5:$B$30,0))</f>
        <v>5</v>
      </c>
      <c r="F5" s="23" t="n">
        <f aca="false">INDEX(Détail!$F$5:$F$30,MATCH("Mur métal",Détail!$B$5:$B$30,0))</f>
        <v>7</v>
      </c>
      <c r="G5" s="23" t="n">
        <f aca="false">INDEX(Détail!$F$5:$F$30,MATCH("Pilier fin métal (Thin Pillar)",Détail!$B$5:$B$30,0))</f>
        <v>4</v>
      </c>
      <c r="H5" s="23" t="n">
        <f aca="false">INDEX(Détail!$F$5:$F$30,MATCH("Fondation métal",Détail!$B$5:$B$30,0))</f>
        <v>15</v>
      </c>
      <c r="I5" s="23" t="n">
        <f aca="false">INDEX(Détail!$F$5:$F$30,MATCH("Plafond métal",Détail!$B$5:$B$30,0))</f>
        <v>10</v>
      </c>
      <c r="J5" s="23" t="n">
        <f aca="false">INDEX(Détail!$F$5:$F$30,MATCH("Pilier métal",Détail!$B$5:$B$30,0))</f>
        <v>7</v>
      </c>
      <c r="K5" s="23" t="n">
        <f aca="false">INDEX(Détail!$F$5:$F$30,MATCH("Escalier métal",Détail!$B$5:$B$30,0))</f>
        <v>15</v>
      </c>
      <c r="L5" s="23" t="n">
        <f aca="false">INDEX(Détail!$F$5:$F$30,MATCH("Plafond à trappe métal",Détail!$B$5:$B$30,0))</f>
        <v>10</v>
      </c>
      <c r="M5" s="2"/>
      <c r="N5" s="2"/>
      <c r="O5" s="2"/>
    </row>
    <row r="6" customFormat="false" ht="54" hidden="false" customHeight="true" outlineLevel="0" collapsed="false">
      <c r="A6" s="24" t="s">
        <v>148</v>
      </c>
      <c r="B6" s="11" t="s">
        <v>97</v>
      </c>
      <c r="C6" s="11" t="s">
        <v>105</v>
      </c>
      <c r="D6" s="11" t="s">
        <v>109</v>
      </c>
      <c r="E6" s="11" t="s">
        <v>114</v>
      </c>
      <c r="F6" s="11" t="s">
        <v>113</v>
      </c>
      <c r="G6" s="11" t="s">
        <v>110</v>
      </c>
      <c r="H6" s="11" t="s">
        <v>98</v>
      </c>
      <c r="I6" s="11" t="s">
        <v>115</v>
      </c>
      <c r="J6" s="11" t="s">
        <v>102</v>
      </c>
      <c r="K6" s="11" t="s">
        <v>116</v>
      </c>
      <c r="L6" s="11" t="s">
        <v>119</v>
      </c>
      <c r="M6" s="5" t="s">
        <v>169</v>
      </c>
      <c r="N6" s="5" t="s">
        <v>170</v>
      </c>
      <c r="O6" s="5" t="s">
        <v>171</v>
      </c>
    </row>
    <row r="7" customFormat="false" ht="15" hidden="false" customHeight="false" outlineLevel="0" collapsed="false">
      <c r="A7" s="12" t="s">
        <v>65</v>
      </c>
      <c r="B7" s="16" t="n">
        <v>684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344</v>
      </c>
      <c r="I7" s="16" t="n">
        <v>0</v>
      </c>
      <c r="J7" s="16" t="n">
        <v>0</v>
      </c>
      <c r="K7" s="16" t="n">
        <v>0</v>
      </c>
      <c r="L7" s="16" t="n">
        <v>0</v>
      </c>
      <c r="M7" s="25" t="n">
        <f aca="false">SUM(B7:L7)</f>
        <v>1028</v>
      </c>
      <c r="N7" s="25" t="n">
        <f aca="false">SUMPRODUCT(B7:L7,B$4:L$4)</f>
        <v>34300</v>
      </c>
      <c r="O7" s="25" t="n">
        <f aca="false">SUMPRODUCT(B7:L7,B$5:L$5)</f>
        <v>10632</v>
      </c>
    </row>
    <row r="8" customFormat="false" ht="15" hidden="false" customHeight="false" outlineLevel="0" collapsed="false">
      <c r="A8" s="12" t="s">
        <v>100</v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224</v>
      </c>
      <c r="K8" s="16" t="n">
        <v>0</v>
      </c>
      <c r="L8" s="16" t="n">
        <v>0</v>
      </c>
      <c r="M8" s="25" t="n">
        <f aca="false">SUM(B8:L8)</f>
        <v>224</v>
      </c>
      <c r="N8" s="25" t="n">
        <f aca="false">SUMPRODUCT(B8:L8,B$4:L$4)</f>
        <v>5600</v>
      </c>
      <c r="O8" s="25" t="n">
        <f aca="false">SUMPRODUCT(B8:L8,B$5:L$5)</f>
        <v>1568</v>
      </c>
    </row>
    <row r="9" customFormat="false" ht="15" hidden="false" customHeight="false" outlineLevel="0" collapsed="false">
      <c r="A9" s="12" t="s">
        <v>103</v>
      </c>
      <c r="B9" s="16" t="n">
        <v>0</v>
      </c>
      <c r="C9" s="16" t="n">
        <v>204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25" t="n">
        <f aca="false">SUM(B9:L9)</f>
        <v>204</v>
      </c>
      <c r="N9" s="25" t="n">
        <f aca="false">SUMPRODUCT(B9:L9,B$4:L$4)</f>
        <v>5100</v>
      </c>
      <c r="O9" s="25" t="n">
        <f aca="false">SUMPRODUCT(B9:L9,B$5:L$5)</f>
        <v>1428</v>
      </c>
    </row>
    <row r="10" customFormat="false" ht="15" hidden="false" customHeight="false" outlineLevel="0" collapsed="false">
      <c r="A10" s="12" t="s">
        <v>107</v>
      </c>
      <c r="B10" s="16" t="n">
        <v>0</v>
      </c>
      <c r="C10" s="16" t="n">
        <v>33</v>
      </c>
      <c r="D10" s="16" t="n">
        <v>388</v>
      </c>
      <c r="E10" s="16" t="n">
        <v>0</v>
      </c>
      <c r="F10" s="16" t="n">
        <v>0</v>
      </c>
      <c r="G10" s="16" t="n">
        <v>210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25" t="n">
        <f aca="false">SUM(B10:L10)</f>
        <v>631</v>
      </c>
      <c r="N10" s="25" t="n">
        <f aca="false">SUMPRODUCT(B10:L10,B$4:L$4)</f>
        <v>8211</v>
      </c>
      <c r="O10" s="25" t="n">
        <f aca="false">SUMPRODUCT(B10:L10,B$5:L$5)</f>
        <v>2235</v>
      </c>
    </row>
    <row r="11" customFormat="false" ht="15" hidden="false" customHeight="false" outlineLevel="0" collapsed="false">
      <c r="A11" s="12" t="s">
        <v>111</v>
      </c>
      <c r="B11" s="16" t="n">
        <v>0</v>
      </c>
      <c r="C11" s="16" t="n">
        <v>21</v>
      </c>
      <c r="D11" s="16" t="n">
        <v>0</v>
      </c>
      <c r="E11" s="16" t="n">
        <v>170</v>
      </c>
      <c r="F11" s="16" t="n">
        <v>463</v>
      </c>
      <c r="G11" s="16" t="n">
        <v>0</v>
      </c>
      <c r="H11" s="16" t="n">
        <v>0</v>
      </c>
      <c r="I11" s="16" t="n">
        <v>89</v>
      </c>
      <c r="J11" s="16" t="n">
        <v>216</v>
      </c>
      <c r="K11" s="16" t="n">
        <v>6</v>
      </c>
      <c r="L11" s="16" t="n">
        <v>0</v>
      </c>
      <c r="M11" s="25" t="n">
        <f aca="false">SUM(B11:L11)</f>
        <v>965</v>
      </c>
      <c r="N11" s="25" t="n">
        <f aca="false">SUMPRODUCT(B11:L11,B$4:L$4)</f>
        <v>23975</v>
      </c>
      <c r="O11" s="25" t="n">
        <f aca="false">SUMPRODUCT(B11:L11,B$5:L$5)</f>
        <v>6730</v>
      </c>
    </row>
    <row r="12" customFormat="false" ht="15" hidden="false" customHeight="false" outlineLevel="0" collapsed="false">
      <c r="A12" s="12" t="s">
        <v>117</v>
      </c>
      <c r="B12" s="16" t="n">
        <v>0</v>
      </c>
      <c r="C12" s="16" t="n">
        <v>423</v>
      </c>
      <c r="D12" s="16" t="n">
        <v>116</v>
      </c>
      <c r="E12" s="16" t="n">
        <v>285</v>
      </c>
      <c r="F12" s="16" t="n">
        <v>0</v>
      </c>
      <c r="G12" s="16" t="n">
        <v>202</v>
      </c>
      <c r="H12" s="16" t="n">
        <v>0</v>
      </c>
      <c r="I12" s="16" t="n">
        <v>136</v>
      </c>
      <c r="J12" s="16" t="n">
        <v>0</v>
      </c>
      <c r="K12" s="16" t="n">
        <v>0</v>
      </c>
      <c r="L12" s="16" t="n">
        <v>5</v>
      </c>
      <c r="M12" s="25" t="n">
        <f aca="false">SUM(B12:L12)</f>
        <v>1167</v>
      </c>
      <c r="N12" s="25" t="n">
        <f aca="false">SUMPRODUCT(B12:L12,B$4:L$4)</f>
        <v>24658</v>
      </c>
      <c r="O12" s="25" t="n">
        <f aca="false">SUMPRODUCT(B12:L12,B$5:L$5)</f>
        <v>6952</v>
      </c>
    </row>
    <row r="13" customFormat="false" ht="15" hidden="false" customHeight="false" outlineLevel="0" collapsed="false">
      <c r="A13" s="12" t="s">
        <v>120</v>
      </c>
      <c r="B13" s="16" t="n">
        <v>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25" t="n">
        <f aca="false">SUM(B13:L13)</f>
        <v>0</v>
      </c>
      <c r="N13" s="25" t="n">
        <f aca="false">SUMPRODUCT(B13:L13,B$4:L$4)</f>
        <v>0</v>
      </c>
      <c r="O13" s="25" t="n">
        <f aca="false">SUMPRODUCT(B13:L13,B$5:L$5)</f>
        <v>0</v>
      </c>
    </row>
    <row r="14" customFormat="false" ht="15" hidden="false" customHeight="false" outlineLevel="0" collapsed="false">
      <c r="A14" s="12" t="s">
        <v>126</v>
      </c>
      <c r="B14" s="16" t="n">
        <v>0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25" t="n">
        <f aca="false">SUM(B14:L14)</f>
        <v>0</v>
      </c>
      <c r="N14" s="25" t="n">
        <f aca="false">SUMPRODUCT(B14:L14,B$4:L$4)</f>
        <v>0</v>
      </c>
      <c r="O14" s="25" t="n">
        <f aca="false">SUMPRODUCT(B14:L14,B$5:L$5)</f>
        <v>0</v>
      </c>
    </row>
    <row r="15" customFormat="false" ht="15" hidden="false" customHeight="false" outlineLevel="0" collapsed="false">
      <c r="A15" s="12" t="s">
        <v>129</v>
      </c>
      <c r="B15" s="16" t="n">
        <v>0</v>
      </c>
      <c r="C15" s="16" t="n">
        <v>0</v>
      </c>
      <c r="D15" s="16" t="n">
        <v>0</v>
      </c>
      <c r="E15" s="16" t="n">
        <v>174</v>
      </c>
      <c r="F15" s="16" t="n">
        <v>50</v>
      </c>
      <c r="G15" s="16" t="n">
        <v>0</v>
      </c>
      <c r="H15" s="16" t="n">
        <v>0</v>
      </c>
      <c r="I15" s="16" t="n">
        <v>86</v>
      </c>
      <c r="J15" s="16" t="n">
        <v>24</v>
      </c>
      <c r="K15" s="16" t="n">
        <v>0</v>
      </c>
      <c r="L15" s="16" t="n">
        <v>1</v>
      </c>
      <c r="M15" s="25" t="n">
        <f aca="false">SUM(B15:L15)</f>
        <v>335</v>
      </c>
      <c r="N15" s="25" t="n">
        <f aca="false">SUMPRODUCT(B15:L15,B$4:L$4)</f>
        <v>8027</v>
      </c>
      <c r="O15" s="25" t="n">
        <f aca="false">SUMPRODUCT(B15:L15,B$5:L$5)</f>
        <v>2258</v>
      </c>
    </row>
    <row r="16" customFormat="false" ht="15" hidden="false" customHeight="false" outlineLevel="0" collapsed="false">
      <c r="A16" s="12" t="s">
        <v>131</v>
      </c>
      <c r="B16" s="16" t="n">
        <v>0</v>
      </c>
      <c r="C16" s="16" t="n">
        <v>0</v>
      </c>
      <c r="D16" s="16" t="n">
        <v>164</v>
      </c>
      <c r="E16" s="16" t="n">
        <v>0</v>
      </c>
      <c r="F16" s="16" t="n">
        <v>1</v>
      </c>
      <c r="G16" s="16" t="n">
        <v>96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25" t="n">
        <f aca="false">SUM(B16:L16)</f>
        <v>261</v>
      </c>
      <c r="N16" s="25" t="n">
        <f aca="false">SUMPRODUCT(B16:L16,B$4:L$4)</f>
        <v>3241</v>
      </c>
      <c r="O16" s="25" t="n">
        <f aca="false">SUMPRODUCT(B16:L16,B$5:L$5)</f>
        <v>883</v>
      </c>
    </row>
    <row r="17" customFormat="false" ht="15" hidden="false" customHeight="false" outlineLevel="0" collapsed="false">
      <c r="A17" s="12" t="s">
        <v>133</v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1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25" t="n">
        <f aca="false">SUM(B17:L17)</f>
        <v>1</v>
      </c>
      <c r="N17" s="25" t="n">
        <f aca="false">SUMPRODUCT(B17:L17,B$4:L$4)</f>
        <v>25</v>
      </c>
      <c r="O17" s="25" t="n">
        <f aca="false">SUMPRODUCT(B17:L17,B$5:L$5)</f>
        <v>7</v>
      </c>
    </row>
    <row r="18" customFormat="false" ht="15" hidden="false" customHeight="false" outlineLevel="0" collapsed="false">
      <c r="A18" s="4" t="s">
        <v>99</v>
      </c>
      <c r="B18" s="26" t="n">
        <f aca="false">SUM(B7:B17)</f>
        <v>684</v>
      </c>
      <c r="C18" s="26" t="n">
        <f aca="false">SUM(C7:C17)</f>
        <v>681</v>
      </c>
      <c r="D18" s="26" t="n">
        <f aca="false">SUM(D7:D17)</f>
        <v>668</v>
      </c>
      <c r="E18" s="26" t="n">
        <f aca="false">SUM(E7:E17)</f>
        <v>629</v>
      </c>
      <c r="F18" s="26" t="n">
        <f aca="false">SUM(F7:F17)</f>
        <v>515</v>
      </c>
      <c r="G18" s="26" t="n">
        <f aca="false">SUM(G7:G17)</f>
        <v>508</v>
      </c>
      <c r="H18" s="26" t="n">
        <f aca="false">SUM(H7:H17)</f>
        <v>344</v>
      </c>
      <c r="I18" s="26" t="n">
        <f aca="false">SUM(I7:I17)</f>
        <v>311</v>
      </c>
      <c r="J18" s="26" t="n">
        <f aca="false">SUM(J7:J17)</f>
        <v>464</v>
      </c>
      <c r="K18" s="26" t="n">
        <f aca="false">SUM(K7:K17)</f>
        <v>6</v>
      </c>
      <c r="L18" s="26" t="n">
        <f aca="false">SUM(L7:L17)</f>
        <v>6</v>
      </c>
      <c r="M18" s="26" t="n">
        <f aca="false">SUM(M7:M17)</f>
        <v>4816</v>
      </c>
      <c r="N18" s="26" t="n">
        <f aca="false">SUM(N7:N17)</f>
        <v>113137</v>
      </c>
      <c r="O18" s="26" t="n">
        <f aca="false">SUM(O7:O17)</f>
        <v>32693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" hidden="false" customHeight="false" outlineLevel="0" collapsed="false">
      <c r="A20" s="3" t="s">
        <v>172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2026-10-28T22:25:00Z</dcterms:created>
  <dc:creator>openpyxl</dc:creator>
  <dc:description/>
  <dc:language>en-US</dc:language>
  <cp:lastModifiedBy/>
  <dcterms:modified xsi:type="dcterms:W3CDTF">2026-10-28T22:25:01Z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